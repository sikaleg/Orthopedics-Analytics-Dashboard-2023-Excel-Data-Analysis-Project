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202300"/>
  <mc:AlternateContent xmlns:mc="http://schemas.openxmlformats.org/markup-compatibility/2006">
    <mc:Choice Requires="x15">
      <x15ac:absPath xmlns:x15ac="http://schemas.microsoft.com/office/spreadsheetml/2010/11/ac" url="C:\Users\HP\Desktop\Data Analytics and Visualization\My Projects\Excel\Orthopedic Healthcare\"/>
    </mc:Choice>
  </mc:AlternateContent>
  <xr:revisionPtr revIDLastSave="0" documentId="8_{39DD160F-5839-425C-A71D-7973399C2EAF}" xr6:coauthVersionLast="47" xr6:coauthVersionMax="47" xr10:uidLastSave="{00000000-0000-0000-0000-000000000000}"/>
  <bookViews>
    <workbookView xWindow="-110" yWindow="-110" windowWidth="19420" windowHeight="10420" tabRatio="637" xr2:uid="{3D8DE7B2-2E9B-40F3-825C-B00B63BB1232}"/>
  </bookViews>
  <sheets>
    <sheet name="Orthopedics" sheetId="2" r:id="rId1"/>
    <sheet name="Dashboard" sheetId="3" r:id="rId2"/>
    <sheet name="KPIs" sheetId="4" r:id="rId3"/>
    <sheet name="CSAT Score by Month" sheetId="5" r:id="rId4"/>
    <sheet name="Age Bracket" sheetId="6" r:id="rId5"/>
    <sheet name="Patients &amp; Wait Time by Time" sheetId="7" r:id="rId6"/>
  </sheets>
  <definedNames>
    <definedName name="Slicer_day_of_the_week">#N/A</definedName>
    <definedName name="Slicer_month">#N/A</definedName>
  </definedNames>
  <calcPr calcId="191029"/>
  <pivotCaches>
    <pivotCache cacheId="89"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2" l="1"/>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2" i="2"/>
  <c r="Z6" i="3"/>
  <c r="V6" i="3"/>
  <c r="R6" i="3"/>
</calcChain>
</file>

<file path=xl/sharedStrings.xml><?xml version="1.0" encoding="utf-8"?>
<sst xmlns="http://schemas.openxmlformats.org/spreadsheetml/2006/main" count="3257" uniqueCount="1117">
  <si>
    <t>date</t>
  </si>
  <si>
    <t>patient_id</t>
  </si>
  <si>
    <t>patient_gender</t>
  </si>
  <si>
    <t>patient_age</t>
  </si>
  <si>
    <t>patient_sat_score</t>
  </si>
  <si>
    <t>patient_last_name</t>
  </si>
  <si>
    <t>patient_race</t>
  </si>
  <si>
    <t>patient_admin_flag</t>
  </si>
  <si>
    <t>patient_waittime</t>
  </si>
  <si>
    <t>department_referral</t>
  </si>
  <si>
    <t>M</t>
  </si>
  <si>
    <t>African American</t>
  </si>
  <si>
    <t>F</t>
  </si>
  <si>
    <t>White</t>
  </si>
  <si>
    <t>Declined to Identify</t>
  </si>
  <si>
    <t>Asian</t>
  </si>
  <si>
    <t>Two or More Races</t>
  </si>
  <si>
    <t>Native American/Alaska Native</t>
  </si>
  <si>
    <t>Pacific Islander</t>
  </si>
  <si>
    <t>730-54-8361</t>
  </si>
  <si>
    <t>O'Lennachain</t>
  </si>
  <si>
    <t>Orthopedics</t>
  </si>
  <si>
    <t>608-47-0337</t>
  </si>
  <si>
    <t>Boyle</t>
  </si>
  <si>
    <t>409-55-2108</t>
  </si>
  <si>
    <t>Buller</t>
  </si>
  <si>
    <t>771-94-6870</t>
  </si>
  <si>
    <t>Muccino</t>
  </si>
  <si>
    <t>299-16-0016</t>
  </si>
  <si>
    <t>Boulder</t>
  </si>
  <si>
    <t>357-69-5446</t>
  </si>
  <si>
    <t>Huetson</t>
  </si>
  <si>
    <t>Durrant</t>
  </si>
  <si>
    <t>323-73-5214</t>
  </si>
  <si>
    <t>Andrelli</t>
  </si>
  <si>
    <t>426-07-4984</t>
  </si>
  <si>
    <t>Deluca</t>
  </si>
  <si>
    <t>323-99-0794</t>
  </si>
  <si>
    <t>Ruselin</t>
  </si>
  <si>
    <t>705-51-2537</t>
  </si>
  <si>
    <t>Olyet</t>
  </si>
  <si>
    <t>374-08-6811</t>
  </si>
  <si>
    <t>Broadis</t>
  </si>
  <si>
    <t>634-94-1438</t>
  </si>
  <si>
    <t>Baudichon</t>
  </si>
  <si>
    <t>421-15-9145</t>
  </si>
  <si>
    <t>Brunsen</t>
  </si>
  <si>
    <t>672-75-7086</t>
  </si>
  <si>
    <t>McCaughan</t>
  </si>
  <si>
    <t>767-96-0026</t>
  </si>
  <si>
    <t>Frammingham</t>
  </si>
  <si>
    <t>804-80-4289</t>
  </si>
  <si>
    <t>Lomax</t>
  </si>
  <si>
    <t>488-61-3428</t>
  </si>
  <si>
    <t>Yegorchenkov</t>
  </si>
  <si>
    <t>344-30-6145</t>
  </si>
  <si>
    <t>Hardaker</t>
  </si>
  <si>
    <t>828-19-1085</t>
  </si>
  <si>
    <t>Gilfoy</t>
  </si>
  <si>
    <t>812-01-8966</t>
  </si>
  <si>
    <t>Bremond</t>
  </si>
  <si>
    <t>260-70-4444</t>
  </si>
  <si>
    <t>Temprell</t>
  </si>
  <si>
    <t>374-46-8007</t>
  </si>
  <si>
    <t>McLugish</t>
  </si>
  <si>
    <t>423-67-7757</t>
  </si>
  <si>
    <t>Seagrave</t>
  </si>
  <si>
    <t>740-27-0503</t>
  </si>
  <si>
    <t>Lodwick</t>
  </si>
  <si>
    <t>172-88-9711</t>
  </si>
  <si>
    <t>Fricke</t>
  </si>
  <si>
    <t>664-85-2224</t>
  </si>
  <si>
    <t>Shovell</t>
  </si>
  <si>
    <t>402-85-5587</t>
  </si>
  <si>
    <t>Biggen</t>
  </si>
  <si>
    <t>302-68-9742</t>
  </si>
  <si>
    <t>Penylton</t>
  </si>
  <si>
    <t>330-29-6460</t>
  </si>
  <si>
    <t>Pennrington</t>
  </si>
  <si>
    <t>106-06-0564</t>
  </si>
  <si>
    <t>Mountlow</t>
  </si>
  <si>
    <t>155-01-1799</t>
  </si>
  <si>
    <t>Grew</t>
  </si>
  <si>
    <t>848-51-5434</t>
  </si>
  <si>
    <t>Skilton</t>
  </si>
  <si>
    <t>558-62-7213</t>
  </si>
  <si>
    <t>McAneny</t>
  </si>
  <si>
    <t>804-44-8560</t>
  </si>
  <si>
    <t>Capitano</t>
  </si>
  <si>
    <t>Lethbury</t>
  </si>
  <si>
    <t>236-71-7697</t>
  </si>
  <si>
    <t>Battabee</t>
  </si>
  <si>
    <t>Bilby</t>
  </si>
  <si>
    <t>McCanny</t>
  </si>
  <si>
    <t>229-98-0118</t>
  </si>
  <si>
    <t>Dugmore</t>
  </si>
  <si>
    <t>313-36-3938</t>
  </si>
  <si>
    <t>Heigold</t>
  </si>
  <si>
    <t>832-72-0329</t>
  </si>
  <si>
    <t>757-22-3933</t>
  </si>
  <si>
    <t>Gosden</t>
  </si>
  <si>
    <t>662-78-5868</t>
  </si>
  <si>
    <t>Inskipp</t>
  </si>
  <si>
    <t>490-34-8816</t>
  </si>
  <si>
    <t>Sheddan</t>
  </si>
  <si>
    <t>355-78-2842</t>
  </si>
  <si>
    <t>Van Salzberger</t>
  </si>
  <si>
    <t>NC</t>
  </si>
  <si>
    <t>566-41-9643</t>
  </si>
  <si>
    <t>Charlson</t>
  </si>
  <si>
    <t>540-19-1275</t>
  </si>
  <si>
    <t>Elford</t>
  </si>
  <si>
    <t>793-25-4580</t>
  </si>
  <si>
    <t>Chellenham</t>
  </si>
  <si>
    <t>785-37-4017</t>
  </si>
  <si>
    <t>McCunn</t>
  </si>
  <si>
    <t>248-79-4235</t>
  </si>
  <si>
    <t>Peake</t>
  </si>
  <si>
    <t>843-76-4020</t>
  </si>
  <si>
    <t>Bussy</t>
  </si>
  <si>
    <t>176-79-9558</t>
  </si>
  <si>
    <t>Woolmington</t>
  </si>
  <si>
    <t>449-83-1904</t>
  </si>
  <si>
    <t>Bisacre</t>
  </si>
  <si>
    <t>167-77-4307</t>
  </si>
  <si>
    <t>Tunniclisse</t>
  </si>
  <si>
    <t>809-23-9007</t>
  </si>
  <si>
    <t>Cortes</t>
  </si>
  <si>
    <t>514-75-2742</t>
  </si>
  <si>
    <t>Royle</t>
  </si>
  <si>
    <t>251-72-9605</t>
  </si>
  <si>
    <t>Gentry</t>
  </si>
  <si>
    <t>411-44-1446</t>
  </si>
  <si>
    <t>Stamper</t>
  </si>
  <si>
    <t>287-09-1852</t>
  </si>
  <si>
    <t>Kollatsch</t>
  </si>
  <si>
    <t>458-91-1637</t>
  </si>
  <si>
    <t>Shrimpton</t>
  </si>
  <si>
    <t>538-56-3650</t>
  </si>
  <si>
    <t>Dobell</t>
  </si>
  <si>
    <t>Tilson</t>
  </si>
  <si>
    <t>342-20-9295</t>
  </si>
  <si>
    <t>Revey</t>
  </si>
  <si>
    <t>327-14-9748</t>
  </si>
  <si>
    <t>Dance</t>
  </si>
  <si>
    <t>404-61-7141</t>
  </si>
  <si>
    <t>Schuler</t>
  </si>
  <si>
    <t>313-02-6855</t>
  </si>
  <si>
    <t>Ephgrave</t>
  </si>
  <si>
    <t>385-77-2913</t>
  </si>
  <si>
    <t>Syrad</t>
  </si>
  <si>
    <t>676-76-2593</t>
  </si>
  <si>
    <t>Adamo</t>
  </si>
  <si>
    <t>754-26-5507</t>
  </si>
  <si>
    <t>Antonazzi</t>
  </si>
  <si>
    <t>481-25-8959</t>
  </si>
  <si>
    <t>O'Kinneally</t>
  </si>
  <si>
    <t>Elam</t>
  </si>
  <si>
    <t>493-10-9938</t>
  </si>
  <si>
    <t>Haworth</t>
  </si>
  <si>
    <t>208-42-8204</t>
  </si>
  <si>
    <t>Andrichuk</t>
  </si>
  <si>
    <t>612-96-3788</t>
  </si>
  <si>
    <t>Mann</t>
  </si>
  <si>
    <t>416-95-3368</t>
  </si>
  <si>
    <t>Mushart</t>
  </si>
  <si>
    <t>715-73-6259</t>
  </si>
  <si>
    <t>Mc Gorley</t>
  </si>
  <si>
    <t>822-88-4417</t>
  </si>
  <si>
    <t>Bertenshaw</t>
  </si>
  <si>
    <t>120-15-2623</t>
  </si>
  <si>
    <t>Subhan</t>
  </si>
  <si>
    <t>Abelwhite</t>
  </si>
  <si>
    <t>554-45-2268</t>
  </si>
  <si>
    <t>Manoelli</t>
  </si>
  <si>
    <t>McGriffin</t>
  </si>
  <si>
    <t>231-60-4242</t>
  </si>
  <si>
    <t>Sapshed</t>
  </si>
  <si>
    <t>373-70-7925</t>
  </si>
  <si>
    <t>Dives</t>
  </si>
  <si>
    <t>804-04-1122</t>
  </si>
  <si>
    <t>Humpatch</t>
  </si>
  <si>
    <t>693-10-4073</t>
  </si>
  <si>
    <t>McRobb</t>
  </si>
  <si>
    <t>Lamputt</t>
  </si>
  <si>
    <t>256-81-6386</t>
  </si>
  <si>
    <t>Treslove</t>
  </si>
  <si>
    <t>785-59-9671</t>
  </si>
  <si>
    <t>Mapston</t>
  </si>
  <si>
    <t>149-68-0241</t>
  </si>
  <si>
    <t>Hemerijk</t>
  </si>
  <si>
    <t>400-51-3029</t>
  </si>
  <si>
    <t>Abdy</t>
  </si>
  <si>
    <t>427-87-8857</t>
  </si>
  <si>
    <t>Pessler</t>
  </si>
  <si>
    <t>455-54-8491</t>
  </si>
  <si>
    <t>Yeskin</t>
  </si>
  <si>
    <t>840-85-3205</t>
  </si>
  <si>
    <t>Siemandl</t>
  </si>
  <si>
    <t>389-53-3260</t>
  </si>
  <si>
    <t>Dudliston</t>
  </si>
  <si>
    <t>263-80-6685</t>
  </si>
  <si>
    <t>Bartkowiak</t>
  </si>
  <si>
    <t>554-09-0300</t>
  </si>
  <si>
    <t>Brierley</t>
  </si>
  <si>
    <t>562-95-1851</t>
  </si>
  <si>
    <t>Daber</t>
  </si>
  <si>
    <t>388-34-2380</t>
  </si>
  <si>
    <t>Normanton</t>
  </si>
  <si>
    <t>895-70-7727</t>
  </si>
  <si>
    <t>Yelden</t>
  </si>
  <si>
    <t>232-89-7136</t>
  </si>
  <si>
    <t>Silverthorne</t>
  </si>
  <si>
    <t>Duffield</t>
  </si>
  <si>
    <t>539-97-0120</t>
  </si>
  <si>
    <t>Ducker</t>
  </si>
  <si>
    <t>559-31-6017</t>
  </si>
  <si>
    <t>Heggman</t>
  </si>
  <si>
    <t>374-27-4733</t>
  </si>
  <si>
    <t>Gaudon</t>
  </si>
  <si>
    <t>Metcalf</t>
  </si>
  <si>
    <t>320-85-0898</t>
  </si>
  <si>
    <t>Paull</t>
  </si>
  <si>
    <t>721-25-3053</t>
  </si>
  <si>
    <t>Saffill</t>
  </si>
  <si>
    <t>Berendsen</t>
  </si>
  <si>
    <t>718-51-6818</t>
  </si>
  <si>
    <t>Cadalleder</t>
  </si>
  <si>
    <t>620-19-3129</t>
  </si>
  <si>
    <t>Plumb</t>
  </si>
  <si>
    <t>422-02-1134</t>
  </si>
  <si>
    <t>Boole</t>
  </si>
  <si>
    <t>Jenk</t>
  </si>
  <si>
    <t>833-39-1167</t>
  </si>
  <si>
    <t>Woof</t>
  </si>
  <si>
    <t>Lawrance</t>
  </si>
  <si>
    <t>Aicken</t>
  </si>
  <si>
    <t>461-29-9107</t>
  </si>
  <si>
    <t>Torbard</t>
  </si>
  <si>
    <t>540-07-7543</t>
  </si>
  <si>
    <t>Izakson</t>
  </si>
  <si>
    <t>654-49-3579</t>
  </si>
  <si>
    <t>Alessandrucci</t>
  </si>
  <si>
    <t>852-57-5614</t>
  </si>
  <si>
    <t>Bury</t>
  </si>
  <si>
    <t>570-14-8462</t>
  </si>
  <si>
    <t>Meeland</t>
  </si>
  <si>
    <t>777-67-6604</t>
  </si>
  <si>
    <t>Harsant</t>
  </si>
  <si>
    <t>727-44-0682</t>
  </si>
  <si>
    <t>Gealy</t>
  </si>
  <si>
    <t>535-66-6021</t>
  </si>
  <si>
    <t>Knotton</t>
  </si>
  <si>
    <t>Paaso</t>
  </si>
  <si>
    <t>Pagan</t>
  </si>
  <si>
    <t>372-50-6699</t>
  </si>
  <si>
    <t>Lutas</t>
  </si>
  <si>
    <t>439-72-3934</t>
  </si>
  <si>
    <t>Morby</t>
  </si>
  <si>
    <t>541-22-8120</t>
  </si>
  <si>
    <t>Shreeves</t>
  </si>
  <si>
    <t>245-93-0711</t>
  </si>
  <si>
    <t>Oldknowe</t>
  </si>
  <si>
    <t>293-18-7287</t>
  </si>
  <si>
    <t>Hortop</t>
  </si>
  <si>
    <t>264-24-7455</t>
  </si>
  <si>
    <t>Normanvill</t>
  </si>
  <si>
    <t>433-77-2388</t>
  </si>
  <si>
    <t>Robottom</t>
  </si>
  <si>
    <t>419-61-3209</t>
  </si>
  <si>
    <t>Hassett</t>
  </si>
  <si>
    <t>797-70-2349</t>
  </si>
  <si>
    <t>Wallwork</t>
  </si>
  <si>
    <t>211-48-9357</t>
  </si>
  <si>
    <t>Brunner</t>
  </si>
  <si>
    <t>Wisby</t>
  </si>
  <si>
    <t>818-67-0399</t>
  </si>
  <si>
    <t>Erlam</t>
  </si>
  <si>
    <t>309-34-4512</t>
  </si>
  <si>
    <t>Everill</t>
  </si>
  <si>
    <t>402-60-5865</t>
  </si>
  <si>
    <t>Lovart</t>
  </si>
  <si>
    <t>670-80-2997</t>
  </si>
  <si>
    <t>Henningham</t>
  </si>
  <si>
    <t>625-51-6051</t>
  </si>
  <si>
    <t>Sampey</t>
  </si>
  <si>
    <t>140-14-3156</t>
  </si>
  <si>
    <t>Sweedland</t>
  </si>
  <si>
    <t>330-45-2025</t>
  </si>
  <si>
    <t>Pitman</t>
  </si>
  <si>
    <t>580-12-9421</t>
  </si>
  <si>
    <t>235-32-0067</t>
  </si>
  <si>
    <t>736-55-3263</t>
  </si>
  <si>
    <t>Wolverson</t>
  </si>
  <si>
    <t>164-31-3790</t>
  </si>
  <si>
    <t>Baldetti</t>
  </si>
  <si>
    <t>758-30-1888</t>
  </si>
  <si>
    <t>Hallowell</t>
  </si>
  <si>
    <t>531-05-3251</t>
  </si>
  <si>
    <t>Velez</t>
  </si>
  <si>
    <t>393-38-9502</t>
  </si>
  <si>
    <t>Corpes</t>
  </si>
  <si>
    <t>Mowson</t>
  </si>
  <si>
    <t>669-74-2146</t>
  </si>
  <si>
    <t>Frostdyke</t>
  </si>
  <si>
    <t>247-62-4290</t>
  </si>
  <si>
    <t>Lomansey</t>
  </si>
  <si>
    <t>367-49-7229</t>
  </si>
  <si>
    <t>Maynell</t>
  </si>
  <si>
    <t>284-23-4071</t>
  </si>
  <si>
    <t>Keasley</t>
  </si>
  <si>
    <t>685-40-5409</t>
  </si>
  <si>
    <t>Cancott</t>
  </si>
  <si>
    <t>223-84-4462</t>
  </si>
  <si>
    <t>Cosely</t>
  </si>
  <si>
    <t>508-22-7761</t>
  </si>
  <si>
    <t>Brabbins</t>
  </si>
  <si>
    <t>Winfrey</t>
  </si>
  <si>
    <t>Sayles</t>
  </si>
  <si>
    <t>399-11-0047</t>
  </si>
  <si>
    <t>Gilvary</t>
  </si>
  <si>
    <t>834-30-4050</t>
  </si>
  <si>
    <t>Theis</t>
  </si>
  <si>
    <t>364-07-8056</t>
  </si>
  <si>
    <t>Sidsaff</t>
  </si>
  <si>
    <t>106-89-2099</t>
  </si>
  <si>
    <t>885-02-5489</t>
  </si>
  <si>
    <t>Melsome</t>
  </si>
  <si>
    <t>201-56-8126</t>
  </si>
  <si>
    <t>Daftor</t>
  </si>
  <si>
    <t>110-15-3555</t>
  </si>
  <si>
    <t>Veryan</t>
  </si>
  <si>
    <t>613-64-3858</t>
  </si>
  <si>
    <t>Well</t>
  </si>
  <si>
    <t>602-80-4744</t>
  </si>
  <si>
    <t>Huntall</t>
  </si>
  <si>
    <t>896-38-1209</t>
  </si>
  <si>
    <t>Killiner</t>
  </si>
  <si>
    <t>582-24-8875</t>
  </si>
  <si>
    <t>Gullberg</t>
  </si>
  <si>
    <t>811-97-1091</t>
  </si>
  <si>
    <t>Ryal</t>
  </si>
  <si>
    <t>231-43-5762</t>
  </si>
  <si>
    <t>Northam</t>
  </si>
  <si>
    <t>Roark</t>
  </si>
  <si>
    <t>888-31-9974</t>
  </si>
  <si>
    <t>Hatherley</t>
  </si>
  <si>
    <t>697-97-4762</t>
  </si>
  <si>
    <t>Fiddiman</t>
  </si>
  <si>
    <t>765-95-5555</t>
  </si>
  <si>
    <t>Gasken</t>
  </si>
  <si>
    <t>100-66-0896</t>
  </si>
  <si>
    <t>Prickett</t>
  </si>
  <si>
    <t>679-23-8667</t>
  </si>
  <si>
    <t>Southernwood</t>
  </si>
  <si>
    <t>334-83-4102</t>
  </si>
  <si>
    <t>Pordall</t>
  </si>
  <si>
    <t>341-43-1062</t>
  </si>
  <si>
    <t>Fishlock</t>
  </si>
  <si>
    <t>634-38-7814</t>
  </si>
  <si>
    <t>Dawdary</t>
  </si>
  <si>
    <t>454-17-8279</t>
  </si>
  <si>
    <t>Odgaard</t>
  </si>
  <si>
    <t>658-61-9044</t>
  </si>
  <si>
    <t>483-20-0302</t>
  </si>
  <si>
    <t>Dyzart</t>
  </si>
  <si>
    <t>233-13-0126</t>
  </si>
  <si>
    <t>Murdy</t>
  </si>
  <si>
    <t>464-93-5592</t>
  </si>
  <si>
    <t>Caslane</t>
  </si>
  <si>
    <t>Threadgill</t>
  </si>
  <si>
    <t>188-24-3805</t>
  </si>
  <si>
    <t>Bourdis</t>
  </si>
  <si>
    <t>644-56-6799</t>
  </si>
  <si>
    <t>Kingzeth</t>
  </si>
  <si>
    <t>767-80-3235</t>
  </si>
  <si>
    <t>869-40-4882</t>
  </si>
  <si>
    <t>Strover</t>
  </si>
  <si>
    <t>685-14-2682</t>
  </si>
  <si>
    <t>Mityakov</t>
  </si>
  <si>
    <t>697-02-7197</t>
  </si>
  <si>
    <t>Tregien</t>
  </si>
  <si>
    <t>891-13-0532</t>
  </si>
  <si>
    <t>Dayes</t>
  </si>
  <si>
    <t>507-75-5145</t>
  </si>
  <si>
    <t>Guite</t>
  </si>
  <si>
    <t>697-61-8367</t>
  </si>
  <si>
    <t>Meeking</t>
  </si>
  <si>
    <t>541-10-2365</t>
  </si>
  <si>
    <t>Rammell</t>
  </si>
  <si>
    <t>679-29-9661</t>
  </si>
  <si>
    <t>Geeves</t>
  </si>
  <si>
    <t>800-81-9945</t>
  </si>
  <si>
    <t>Ridewood</t>
  </si>
  <si>
    <t>195-28-0276</t>
  </si>
  <si>
    <t>Bulle</t>
  </si>
  <si>
    <t>736-20-4728</t>
  </si>
  <si>
    <t>Danielsson</t>
  </si>
  <si>
    <t>427-16-0688</t>
  </si>
  <si>
    <t>Snalum</t>
  </si>
  <si>
    <t>286-31-5737</t>
  </si>
  <si>
    <t>Louder</t>
  </si>
  <si>
    <t>256-89-4612</t>
  </si>
  <si>
    <t>480-93-4605</t>
  </si>
  <si>
    <t>Monro</t>
  </si>
  <si>
    <t>213-44-8981</t>
  </si>
  <si>
    <t>Lebang</t>
  </si>
  <si>
    <t>689-34-0657</t>
  </si>
  <si>
    <t>Furmonger</t>
  </si>
  <si>
    <t>Wollers</t>
  </si>
  <si>
    <t>770-14-1224</t>
  </si>
  <si>
    <t>Yacob</t>
  </si>
  <si>
    <t>454-42-3319</t>
  </si>
  <si>
    <t>Kneaphsey</t>
  </si>
  <si>
    <t>Palphreyman</t>
  </si>
  <si>
    <t>MacNally</t>
  </si>
  <si>
    <t>706-06-7749</t>
  </si>
  <si>
    <t>Campelli</t>
  </si>
  <si>
    <t>845-69-9025</t>
  </si>
  <si>
    <t>749-62-2279</t>
  </si>
  <si>
    <t>Gerhold</t>
  </si>
  <si>
    <t>374-49-5410</t>
  </si>
  <si>
    <t>Morgen</t>
  </si>
  <si>
    <t>592-41-3656</t>
  </si>
  <si>
    <t>Allard</t>
  </si>
  <si>
    <t>680-97-7540</t>
  </si>
  <si>
    <t>Ost</t>
  </si>
  <si>
    <t>724-18-3560</t>
  </si>
  <si>
    <t>Waiting</t>
  </si>
  <si>
    <t>485-49-0599</t>
  </si>
  <si>
    <t>Nel</t>
  </si>
  <si>
    <t>343-23-0272</t>
  </si>
  <si>
    <t>Mordan</t>
  </si>
  <si>
    <t>240-88-0226</t>
  </si>
  <si>
    <t>Christofides</t>
  </si>
  <si>
    <t>115-72-7138</t>
  </si>
  <si>
    <t>Guinnane</t>
  </si>
  <si>
    <t>168-64-3036</t>
  </si>
  <si>
    <t>Casarini</t>
  </si>
  <si>
    <t>Smithies</t>
  </si>
  <si>
    <t>125-12-2869</t>
  </si>
  <si>
    <t>Dowbakin</t>
  </si>
  <si>
    <t>135-55-7285</t>
  </si>
  <si>
    <t>Reckus</t>
  </si>
  <si>
    <t>614-70-3664</t>
  </si>
  <si>
    <t>Mcasparan</t>
  </si>
  <si>
    <t>373-25-1214</t>
  </si>
  <si>
    <t>Boggis</t>
  </si>
  <si>
    <t>480-59-4442</t>
  </si>
  <si>
    <t>Gitting</t>
  </si>
  <si>
    <t>375-83-4532</t>
  </si>
  <si>
    <t>Baudoux</t>
  </si>
  <si>
    <t>665-04-6942</t>
  </si>
  <si>
    <t>Leyden</t>
  </si>
  <si>
    <t>452-46-7406</t>
  </si>
  <si>
    <t>Kenworthey</t>
  </si>
  <si>
    <t>102-54-1653</t>
  </si>
  <si>
    <t>608-48-4234</t>
  </si>
  <si>
    <t>Smaling</t>
  </si>
  <si>
    <t>261-68-3689</t>
  </si>
  <si>
    <t>Hedditeh</t>
  </si>
  <si>
    <t>Hing</t>
  </si>
  <si>
    <t>457-93-2979</t>
  </si>
  <si>
    <t>Snelgrove</t>
  </si>
  <si>
    <t>386-33-3422</t>
  </si>
  <si>
    <t>Kemball</t>
  </si>
  <si>
    <t>409-22-8805</t>
  </si>
  <si>
    <t>Ayton</t>
  </si>
  <si>
    <t>408-29-0501</t>
  </si>
  <si>
    <t>Evenett</t>
  </si>
  <si>
    <t>773-37-3969</t>
  </si>
  <si>
    <t>Gagie</t>
  </si>
  <si>
    <t>409-52-4416</t>
  </si>
  <si>
    <t>Gately</t>
  </si>
  <si>
    <t>755-96-0530</t>
  </si>
  <si>
    <t>McAndie</t>
  </si>
  <si>
    <t>218-08-9169</t>
  </si>
  <si>
    <t>Conn</t>
  </si>
  <si>
    <t>809-51-1881</t>
  </si>
  <si>
    <t>Hollindale</t>
  </si>
  <si>
    <t>722-78-9494</t>
  </si>
  <si>
    <t>Blackstone</t>
  </si>
  <si>
    <t>482-47-8887</t>
  </si>
  <si>
    <t>Fibbit</t>
  </si>
  <si>
    <t>770-08-4969</t>
  </si>
  <si>
    <t>Bidewell</t>
  </si>
  <si>
    <t>142-27-8439</t>
  </si>
  <si>
    <t>Braam</t>
  </si>
  <si>
    <t>689-86-6145</t>
  </si>
  <si>
    <t>Cordie</t>
  </si>
  <si>
    <t>841-74-3492</t>
  </si>
  <si>
    <t>Follis</t>
  </si>
  <si>
    <t>824-52-5925</t>
  </si>
  <si>
    <t>Sinnatt</t>
  </si>
  <si>
    <t>Chasle</t>
  </si>
  <si>
    <t>865-28-1195</t>
  </si>
  <si>
    <t>Elcy</t>
  </si>
  <si>
    <t>255-46-2640</t>
  </si>
  <si>
    <t>Kinglesyd</t>
  </si>
  <si>
    <t>535-57-8080</t>
  </si>
  <si>
    <t>Leavry</t>
  </si>
  <si>
    <t>514-12-0922</t>
  </si>
  <si>
    <t>Traite</t>
  </si>
  <si>
    <t>427-28-6383</t>
  </si>
  <si>
    <t>Gallafant</t>
  </si>
  <si>
    <t>163-81-9187</t>
  </si>
  <si>
    <t>Bloxham</t>
  </si>
  <si>
    <t>600-56-6481</t>
  </si>
  <si>
    <t>Malbon</t>
  </si>
  <si>
    <t>Wessel</t>
  </si>
  <si>
    <t>657-40-4330</t>
  </si>
  <si>
    <t>Proswell</t>
  </si>
  <si>
    <t>393-52-8450</t>
  </si>
  <si>
    <t>Lauritsen</t>
  </si>
  <si>
    <t>624-82-0024</t>
  </si>
  <si>
    <t>Gensavage</t>
  </si>
  <si>
    <t>386-77-8317</t>
  </si>
  <si>
    <t>Mumbray</t>
  </si>
  <si>
    <t>649-47-0696</t>
  </si>
  <si>
    <t>Habble</t>
  </si>
  <si>
    <t>168-97-3030</t>
  </si>
  <si>
    <t>Tinwell</t>
  </si>
  <si>
    <t>105-30-2335</t>
  </si>
  <si>
    <t>Pinnell</t>
  </si>
  <si>
    <t>585-31-9711</t>
  </si>
  <si>
    <t>Dagger</t>
  </si>
  <si>
    <t>483-70-4436</t>
  </si>
  <si>
    <t>Fredi</t>
  </si>
  <si>
    <t>171-75-9146</t>
  </si>
  <si>
    <t>Hearnah</t>
  </si>
  <si>
    <t>Verrick</t>
  </si>
  <si>
    <t>334-81-1151</t>
  </si>
  <si>
    <t>Elsop</t>
  </si>
  <si>
    <t>176-25-2920</t>
  </si>
  <si>
    <t>Shanklin</t>
  </si>
  <si>
    <t>612-69-6427</t>
  </si>
  <si>
    <t>Stockings</t>
  </si>
  <si>
    <t>643-42-0906</t>
  </si>
  <si>
    <t>Barrett</t>
  </si>
  <si>
    <t>442-97-4394</t>
  </si>
  <si>
    <t>Deakins</t>
  </si>
  <si>
    <t>226-26-8565</t>
  </si>
  <si>
    <t>Broadhurst</t>
  </si>
  <si>
    <t>340-40-0901</t>
  </si>
  <si>
    <t>Adamik</t>
  </si>
  <si>
    <t>458-41-3724</t>
  </si>
  <si>
    <t>Grim</t>
  </si>
  <si>
    <t>842-01-2749</t>
  </si>
  <si>
    <t>Latore</t>
  </si>
  <si>
    <t>333-09-7490</t>
  </si>
  <si>
    <t>Cawthery</t>
  </si>
  <si>
    <t>400-24-8755</t>
  </si>
  <si>
    <t>Lammertz</t>
  </si>
  <si>
    <t>324-29-4700</t>
  </si>
  <si>
    <t>Bubb</t>
  </si>
  <si>
    <t>203-70-6564</t>
  </si>
  <si>
    <t>McGarvey</t>
  </si>
  <si>
    <t>169-60-7674</t>
  </si>
  <si>
    <t>Degoey</t>
  </si>
  <si>
    <t>176-25-3650</t>
  </si>
  <si>
    <t>Dundridge</t>
  </si>
  <si>
    <t>787-59-4271</t>
  </si>
  <si>
    <t>McCole</t>
  </si>
  <si>
    <t>271-80-8403</t>
  </si>
  <si>
    <t>Riddoch</t>
  </si>
  <si>
    <t>694-75-1010</t>
  </si>
  <si>
    <t>Daspar</t>
  </si>
  <si>
    <t>457-25-0613</t>
  </si>
  <si>
    <t>Burnside</t>
  </si>
  <si>
    <t>454-88-2937</t>
  </si>
  <si>
    <t>Hasker</t>
  </si>
  <si>
    <t>835-45-5469</t>
  </si>
  <si>
    <t>Jorat</t>
  </si>
  <si>
    <t>763-41-5675</t>
  </si>
  <si>
    <t>Yardy</t>
  </si>
  <si>
    <t>825-28-0932</t>
  </si>
  <si>
    <t>Escoffier</t>
  </si>
  <si>
    <t>139-06-1169</t>
  </si>
  <si>
    <t>Swann</t>
  </si>
  <si>
    <t>439-09-4695</t>
  </si>
  <si>
    <t>Bastiman</t>
  </si>
  <si>
    <t>Thomann</t>
  </si>
  <si>
    <t>672-53-8285</t>
  </si>
  <si>
    <t>Matisse</t>
  </si>
  <si>
    <t>814-11-2492</t>
  </si>
  <si>
    <t>Fedorski</t>
  </si>
  <si>
    <t>521-01-3986</t>
  </si>
  <si>
    <t>Stych</t>
  </si>
  <si>
    <t>363-26-2671</t>
  </si>
  <si>
    <t>Adran</t>
  </si>
  <si>
    <t>357-89-2203</t>
  </si>
  <si>
    <t>McGonigal</t>
  </si>
  <si>
    <t>673-50-9490</t>
  </si>
  <si>
    <t>Clout</t>
  </si>
  <si>
    <t>241-64-7642</t>
  </si>
  <si>
    <t>Danielovitch</t>
  </si>
  <si>
    <t>821-53-2890</t>
  </si>
  <si>
    <t>509-15-9216</t>
  </si>
  <si>
    <t>Takkos</t>
  </si>
  <si>
    <t>759-38-2731</t>
  </si>
  <si>
    <t>Bonellie</t>
  </si>
  <si>
    <t>Saladine</t>
  </si>
  <si>
    <t>622-23-4523</t>
  </si>
  <si>
    <t>Rizzillo</t>
  </si>
  <si>
    <t>419-82-3648</t>
  </si>
  <si>
    <t>Duchasteau</t>
  </si>
  <si>
    <t>402-45-4382</t>
  </si>
  <si>
    <t>Fitzpayn</t>
  </si>
  <si>
    <t>120-71-9392</t>
  </si>
  <si>
    <t>Haet</t>
  </si>
  <si>
    <t>228-41-0095</t>
  </si>
  <si>
    <t>Leete</t>
  </si>
  <si>
    <t>608-66-3521</t>
  </si>
  <si>
    <t>Coldbathe</t>
  </si>
  <si>
    <t>667-42-3519</t>
  </si>
  <si>
    <t>Timbrell</t>
  </si>
  <si>
    <t>283-63-7892</t>
  </si>
  <si>
    <t>Hanigan</t>
  </si>
  <si>
    <t>179-75-0561</t>
  </si>
  <si>
    <t>Pedler</t>
  </si>
  <si>
    <t>334-62-9552</t>
  </si>
  <si>
    <t>Butterick</t>
  </si>
  <si>
    <t>826-13-7323</t>
  </si>
  <si>
    <t>Knagges</t>
  </si>
  <si>
    <t>824-26-7312</t>
  </si>
  <si>
    <t>Siuda</t>
  </si>
  <si>
    <t>470-65-1385</t>
  </si>
  <si>
    <t>Davidowsky</t>
  </si>
  <si>
    <t>296-03-8130</t>
  </si>
  <si>
    <t>Curteis</t>
  </si>
  <si>
    <t>774-50-3865</t>
  </si>
  <si>
    <t>737-96-0035</t>
  </si>
  <si>
    <t>Britland</t>
  </si>
  <si>
    <t>504-30-7957</t>
  </si>
  <si>
    <t>Cutbirth</t>
  </si>
  <si>
    <t>615-29-6442</t>
  </si>
  <si>
    <t>Statersfield</t>
  </si>
  <si>
    <t>552-28-2494</t>
  </si>
  <si>
    <t>Hanes</t>
  </si>
  <si>
    <t>447-91-3077</t>
  </si>
  <si>
    <t>Towers</t>
  </si>
  <si>
    <t>814-16-5063</t>
  </si>
  <si>
    <t>Sheasby</t>
  </si>
  <si>
    <t>711-16-5014</t>
  </si>
  <si>
    <t>Fossett</t>
  </si>
  <si>
    <t>Heavy</t>
  </si>
  <si>
    <t>795-71-6463</t>
  </si>
  <si>
    <t>McCarty</t>
  </si>
  <si>
    <t>557-52-3003</t>
  </si>
  <si>
    <t>Dupree</t>
  </si>
  <si>
    <t>219-45-8034</t>
  </si>
  <si>
    <t>Hakewell</t>
  </si>
  <si>
    <t>221-75-5469</t>
  </si>
  <si>
    <t>Trudgeon</t>
  </si>
  <si>
    <t>160-36-8458</t>
  </si>
  <si>
    <t>657-07-1234</t>
  </si>
  <si>
    <t>Giacobilio</t>
  </si>
  <si>
    <t>884-65-0896</t>
  </si>
  <si>
    <t>Newgrosh</t>
  </si>
  <si>
    <t>124-40-1013</t>
  </si>
  <si>
    <t>Rasher</t>
  </si>
  <si>
    <t>751-06-2730</t>
  </si>
  <si>
    <t>236-97-7586</t>
  </si>
  <si>
    <t>De la Zenne</t>
  </si>
  <si>
    <t>546-93-3891</t>
  </si>
  <si>
    <t>Beedie</t>
  </si>
  <si>
    <t>651-29-6896</t>
  </si>
  <si>
    <t>Birdwhistell</t>
  </si>
  <si>
    <t>493-57-5938</t>
  </si>
  <si>
    <t>Sherwen</t>
  </si>
  <si>
    <t>178-52-1500</t>
  </si>
  <si>
    <t>Beavington</t>
  </si>
  <si>
    <t>778-27-5802</t>
  </si>
  <si>
    <t>Collymore</t>
  </si>
  <si>
    <t>297-74-6777</t>
  </si>
  <si>
    <t>Bartolomeu</t>
  </si>
  <si>
    <t>610-81-3745</t>
  </si>
  <si>
    <t>854-45-3713</t>
  </si>
  <si>
    <t>Riggulsford</t>
  </si>
  <si>
    <t>702-38-3084</t>
  </si>
  <si>
    <t>Sinden</t>
  </si>
  <si>
    <t>500-31-0203</t>
  </si>
  <si>
    <t>Congdon</t>
  </si>
  <si>
    <t>748-29-8054</t>
  </si>
  <si>
    <t>270-64-7975</t>
  </si>
  <si>
    <t>Gunston</t>
  </si>
  <si>
    <t>310-55-5331</t>
  </si>
  <si>
    <t>Goneau</t>
  </si>
  <si>
    <t>876-79-7112</t>
  </si>
  <si>
    <t>Halfacre</t>
  </si>
  <si>
    <t>431-19-3103</t>
  </si>
  <si>
    <t>728-34-1870</t>
  </si>
  <si>
    <t>Duester</t>
  </si>
  <si>
    <t>696-86-5614</t>
  </si>
  <si>
    <t>517-09-3692</t>
  </si>
  <si>
    <t>Stanyland</t>
  </si>
  <si>
    <t>831-25-4717</t>
  </si>
  <si>
    <t>285-41-0221</t>
  </si>
  <si>
    <t>Aggiss</t>
  </si>
  <si>
    <t>558-14-1217</t>
  </si>
  <si>
    <t>Lead</t>
  </si>
  <si>
    <t>854-88-8632</t>
  </si>
  <si>
    <t>Fassan</t>
  </si>
  <si>
    <t>557-05-5863</t>
  </si>
  <si>
    <t>Gillford</t>
  </si>
  <si>
    <t>647-52-7688</t>
  </si>
  <si>
    <t>Worham</t>
  </si>
  <si>
    <t>204-52-5423</t>
  </si>
  <si>
    <t>Lobe</t>
  </si>
  <si>
    <t>734-01-2423</t>
  </si>
  <si>
    <t>Oleshunin</t>
  </si>
  <si>
    <t>270-81-6460</t>
  </si>
  <si>
    <t>Blessed</t>
  </si>
  <si>
    <t>429-49-3591</t>
  </si>
  <si>
    <t>Polon</t>
  </si>
  <si>
    <t>398-45-7125</t>
  </si>
  <si>
    <t>Butler</t>
  </si>
  <si>
    <t>763-35-7575</t>
  </si>
  <si>
    <t>Snarie</t>
  </si>
  <si>
    <t>186-48-7416</t>
  </si>
  <si>
    <t>Abbotson</t>
  </si>
  <si>
    <t>774-12-1839</t>
  </si>
  <si>
    <t>Toplis</t>
  </si>
  <si>
    <t>703-94-1485</t>
  </si>
  <si>
    <t>Morey</t>
  </si>
  <si>
    <t>508-93-6274</t>
  </si>
  <si>
    <t>Moorman</t>
  </si>
  <si>
    <t>531-80-4313</t>
  </si>
  <si>
    <t>Finnick</t>
  </si>
  <si>
    <t>715-62-6956</t>
  </si>
  <si>
    <t>Iltchev</t>
  </si>
  <si>
    <t>465-96-7433</t>
  </si>
  <si>
    <t>Willshee</t>
  </si>
  <si>
    <t>418-68-8857</t>
  </si>
  <si>
    <t>Sawkin</t>
  </si>
  <si>
    <t>744-52-3785</t>
  </si>
  <si>
    <t>Josuweit</t>
  </si>
  <si>
    <t>731-24-5816</t>
  </si>
  <si>
    <t>Snoxall</t>
  </si>
  <si>
    <t>360-05-3720</t>
  </si>
  <si>
    <t>Francesch</t>
  </si>
  <si>
    <t>452-87-5629</t>
  </si>
  <si>
    <t>Wilgar</t>
  </si>
  <si>
    <t>875-57-2036</t>
  </si>
  <si>
    <t>Raggles</t>
  </si>
  <si>
    <t>623-89-4272</t>
  </si>
  <si>
    <t>Pobjay</t>
  </si>
  <si>
    <t>632-49-6543</t>
  </si>
  <si>
    <t>Pagel</t>
  </si>
  <si>
    <t>673-44-9918</t>
  </si>
  <si>
    <t>Lindelof</t>
  </si>
  <si>
    <t>Coats</t>
  </si>
  <si>
    <t>128-72-0119</t>
  </si>
  <si>
    <t>Irce</t>
  </si>
  <si>
    <t>342-05-3969</t>
  </si>
  <si>
    <t>Sinnott</t>
  </si>
  <si>
    <t>318-50-0134</t>
  </si>
  <si>
    <t>Gutowska</t>
  </si>
  <si>
    <t>129-25-8655</t>
  </si>
  <si>
    <t>Pimer</t>
  </si>
  <si>
    <t>853-27-4550</t>
  </si>
  <si>
    <t>Kewzick</t>
  </si>
  <si>
    <t>259-41-9306</t>
  </si>
  <si>
    <t>Woolvin</t>
  </si>
  <si>
    <t>464-44-5970</t>
  </si>
  <si>
    <t>Turneaux</t>
  </si>
  <si>
    <t>142-34-3319</t>
  </si>
  <si>
    <t>Wethey</t>
  </si>
  <si>
    <t>547-76-7829</t>
  </si>
  <si>
    <t>Dyson</t>
  </si>
  <si>
    <t>216-85-2300</t>
  </si>
  <si>
    <t>Kenforth</t>
  </si>
  <si>
    <t>789-50-5483</t>
  </si>
  <si>
    <t>Wickstead</t>
  </si>
  <si>
    <t>800-66-2051</t>
  </si>
  <si>
    <t>Plastow</t>
  </si>
  <si>
    <t>793-29-8977</t>
  </si>
  <si>
    <t>Gentric</t>
  </si>
  <si>
    <t>656-57-4812</t>
  </si>
  <si>
    <t>Lowing</t>
  </si>
  <si>
    <t>857-74-9716</t>
  </si>
  <si>
    <t>Brownill</t>
  </si>
  <si>
    <t>432-18-6164</t>
  </si>
  <si>
    <t>Thouless</t>
  </si>
  <si>
    <t>394-04-2226</t>
  </si>
  <si>
    <t>Fargie</t>
  </si>
  <si>
    <t>776-13-4447</t>
  </si>
  <si>
    <t>Curness</t>
  </si>
  <si>
    <t>255-15-5945</t>
  </si>
  <si>
    <t>Shortcliffe</t>
  </si>
  <si>
    <t>718-40-9446</t>
  </si>
  <si>
    <t>Mitrikhin</t>
  </si>
  <si>
    <t>250-44-9023</t>
  </si>
  <si>
    <t>283-07-6389</t>
  </si>
  <si>
    <t>Kildea</t>
  </si>
  <si>
    <t>398-76-7789</t>
  </si>
  <si>
    <t>Putt</t>
  </si>
  <si>
    <t>427-61-4630</t>
  </si>
  <si>
    <t>MacFarland</t>
  </si>
  <si>
    <t>Alday</t>
  </si>
  <si>
    <t>138-91-1480</t>
  </si>
  <si>
    <t>Rushbrook</t>
  </si>
  <si>
    <t>690-03-4668</t>
  </si>
  <si>
    <t>Stonard</t>
  </si>
  <si>
    <t>610-42-3028</t>
  </si>
  <si>
    <t>Coghill</t>
  </si>
  <si>
    <t>802-14-1812</t>
  </si>
  <si>
    <t>Methven</t>
  </si>
  <si>
    <t>614-30-7245</t>
  </si>
  <si>
    <t>Blinder</t>
  </si>
  <si>
    <t>398-53-4396</t>
  </si>
  <si>
    <t>Dunsford</t>
  </si>
  <si>
    <t>171-97-5054</t>
  </si>
  <si>
    <t>MacCosto</t>
  </si>
  <si>
    <t>807-93-0539</t>
  </si>
  <si>
    <t>Sawter</t>
  </si>
  <si>
    <t>225-49-2583</t>
  </si>
  <si>
    <t>Vinsen</t>
  </si>
  <si>
    <t>644-37-7174</t>
  </si>
  <si>
    <t>Hornig</t>
  </si>
  <si>
    <t>879-09-0173</t>
  </si>
  <si>
    <t>Daal</t>
  </si>
  <si>
    <t>185-45-4039</t>
  </si>
  <si>
    <t>644-62-8312</t>
  </si>
  <si>
    <t>Bille</t>
  </si>
  <si>
    <t>544-63-0784</t>
  </si>
  <si>
    <t>Cappleman</t>
  </si>
  <si>
    <t>225-66-0995</t>
  </si>
  <si>
    <t>Verden</t>
  </si>
  <si>
    <t>760-33-4176</t>
  </si>
  <si>
    <t>Dear</t>
  </si>
  <si>
    <t>Threlkeld</t>
  </si>
  <si>
    <t>450-09-5808</t>
  </si>
  <si>
    <t>Gabe</t>
  </si>
  <si>
    <t>612-63-4048</t>
  </si>
  <si>
    <t>Stodart</t>
  </si>
  <si>
    <t>395-80-7937</t>
  </si>
  <si>
    <t>543-30-7171</t>
  </si>
  <si>
    <t>Canty</t>
  </si>
  <si>
    <t>822-41-7734</t>
  </si>
  <si>
    <t>Dowall</t>
  </si>
  <si>
    <t>472-80-8183</t>
  </si>
  <si>
    <t>Simner</t>
  </si>
  <si>
    <t>825-27-0713</t>
  </si>
  <si>
    <t>Doumer</t>
  </si>
  <si>
    <t>102-21-5953</t>
  </si>
  <si>
    <t>Annett</t>
  </si>
  <si>
    <t>490-05-6824</t>
  </si>
  <si>
    <t>368-31-2124</t>
  </si>
  <si>
    <t>Sealeaf</t>
  </si>
  <si>
    <t>866-26-1903</t>
  </si>
  <si>
    <t>Jerson</t>
  </si>
  <si>
    <t>107-19-6298</t>
  </si>
  <si>
    <t>Clendennen</t>
  </si>
  <si>
    <t>171-10-8865</t>
  </si>
  <si>
    <t>Dugue</t>
  </si>
  <si>
    <t>676-74-9268</t>
  </si>
  <si>
    <t>Aspinwall</t>
  </si>
  <si>
    <t>Le Clercq</t>
  </si>
  <si>
    <t>143-12-4621</t>
  </si>
  <si>
    <t>Brindle</t>
  </si>
  <si>
    <t>Somerscales</t>
  </si>
  <si>
    <t>564-01-7734</t>
  </si>
  <si>
    <t>Tomblett</t>
  </si>
  <si>
    <t>185-30-4496</t>
  </si>
  <si>
    <t>de Guise</t>
  </si>
  <si>
    <t>818-07-9151</t>
  </si>
  <si>
    <t>Trengrouse</t>
  </si>
  <si>
    <t>849-30-0675</t>
  </si>
  <si>
    <t>Fitzsimon</t>
  </si>
  <si>
    <t>225-31-4539</t>
  </si>
  <si>
    <t>560-19-5168</t>
  </si>
  <si>
    <t>Conew</t>
  </si>
  <si>
    <t>511-74-2373</t>
  </si>
  <si>
    <t>Bromont</t>
  </si>
  <si>
    <t>263-15-6279</t>
  </si>
  <si>
    <t>Asplen</t>
  </si>
  <si>
    <t>227-33-6424</t>
  </si>
  <si>
    <t>Rothert</t>
  </si>
  <si>
    <t>483-56-5234</t>
  </si>
  <si>
    <t>Pash</t>
  </si>
  <si>
    <t>892-79-0205</t>
  </si>
  <si>
    <t>Muslim</t>
  </si>
  <si>
    <t>705-06-3874</t>
  </si>
  <si>
    <t>Schurcke</t>
  </si>
  <si>
    <t>619-67-1876</t>
  </si>
  <si>
    <t>Scholling</t>
  </si>
  <si>
    <t>604-19-2040</t>
  </si>
  <si>
    <t>Founds</t>
  </si>
  <si>
    <t>875-56-3403</t>
  </si>
  <si>
    <t>Hornbuckle</t>
  </si>
  <si>
    <t>750-10-6392</t>
  </si>
  <si>
    <t>Babin</t>
  </si>
  <si>
    <t>494-29-1509</t>
  </si>
  <si>
    <t>313-71-4006</t>
  </si>
  <si>
    <t>352-98-0907</t>
  </si>
  <si>
    <t>Saywell</t>
  </si>
  <si>
    <t>776-73-0164</t>
  </si>
  <si>
    <t>Ridoutt</t>
  </si>
  <si>
    <t>103-94-9474</t>
  </si>
  <si>
    <t>Ronald</t>
  </si>
  <si>
    <t>182-69-5382</t>
  </si>
  <si>
    <t>Lott</t>
  </si>
  <si>
    <t>860-43-2537</t>
  </si>
  <si>
    <t>289-26-0537</t>
  </si>
  <si>
    <t>Gionettitti</t>
  </si>
  <si>
    <t>557-77-2197</t>
  </si>
  <si>
    <t>Weir</t>
  </si>
  <si>
    <t>124-28-5022</t>
  </si>
  <si>
    <t>Lomasna</t>
  </si>
  <si>
    <t>605-02-4485</t>
  </si>
  <si>
    <t>737-03-7902</t>
  </si>
  <si>
    <t>Stanion</t>
  </si>
  <si>
    <t>670-84-1971</t>
  </si>
  <si>
    <t>Goodsell</t>
  </si>
  <si>
    <t>791-85-2268</t>
  </si>
  <si>
    <t>Crudgington</t>
  </si>
  <si>
    <t>714-35-6722</t>
  </si>
  <si>
    <t>597-02-5455</t>
  </si>
  <si>
    <t>Schleicher</t>
  </si>
  <si>
    <t>384-72-1340</t>
  </si>
  <si>
    <t>864-61-2647</t>
  </si>
  <si>
    <t>Bonnesen</t>
  </si>
  <si>
    <t>576-52-5777</t>
  </si>
  <si>
    <t>Carratt</t>
  </si>
  <si>
    <t>181-37-8210</t>
  </si>
  <si>
    <t>Lie</t>
  </si>
  <si>
    <t>723-91-6052</t>
  </si>
  <si>
    <t>664-02-2390</t>
  </si>
  <si>
    <t>Buddle</t>
  </si>
  <si>
    <t>696-40-8856</t>
  </si>
  <si>
    <t>Blowing</t>
  </si>
  <si>
    <t>408-56-0055</t>
  </si>
  <si>
    <t>MacMenamin</t>
  </si>
  <si>
    <t>393-79-0056</t>
  </si>
  <si>
    <t>Murkin</t>
  </si>
  <si>
    <t>222-46-6969</t>
  </si>
  <si>
    <t>Livoir</t>
  </si>
  <si>
    <t>522-11-6573</t>
  </si>
  <si>
    <t>Koba</t>
  </si>
  <si>
    <t>341-41-1657</t>
  </si>
  <si>
    <t>Prettejohns</t>
  </si>
  <si>
    <t>818-26-8196</t>
  </si>
  <si>
    <t>688-49-8033</t>
  </si>
  <si>
    <t>Prandin</t>
  </si>
  <si>
    <t>274-79-2232</t>
  </si>
  <si>
    <t>Murty</t>
  </si>
  <si>
    <t>317-19-5775</t>
  </si>
  <si>
    <t>651-52-1504</t>
  </si>
  <si>
    <t>Brockley</t>
  </si>
  <si>
    <t>139-07-0452</t>
  </si>
  <si>
    <t>McGarva</t>
  </si>
  <si>
    <t>791-12-6186</t>
  </si>
  <si>
    <t>627-11-7847</t>
  </si>
  <si>
    <t>372-37-2243</t>
  </si>
  <si>
    <t>480-22-9841</t>
  </si>
  <si>
    <t>Wrefford</t>
  </si>
  <si>
    <t>214-51-6611</t>
  </si>
  <si>
    <t>Rivitt</t>
  </si>
  <si>
    <t>551-13-2462</t>
  </si>
  <si>
    <t>Sant</t>
  </si>
  <si>
    <t>148-91-1392</t>
  </si>
  <si>
    <t>Tumioto</t>
  </si>
  <si>
    <t>314-59-0387</t>
  </si>
  <si>
    <t>Dallewater</t>
  </si>
  <si>
    <t>515-35-7484</t>
  </si>
  <si>
    <t>Kensley</t>
  </si>
  <si>
    <t>496-61-3003</t>
  </si>
  <si>
    <t>Hayter</t>
  </si>
  <si>
    <t>611-43-2271</t>
  </si>
  <si>
    <t>Llorente</t>
  </si>
  <si>
    <t>289-70-6054</t>
  </si>
  <si>
    <t>Edworthie</t>
  </si>
  <si>
    <t>658-82-9991</t>
  </si>
  <si>
    <t>Roscher</t>
  </si>
  <si>
    <t>764-69-8400</t>
  </si>
  <si>
    <t>Osorio</t>
  </si>
  <si>
    <t>122-73-4557</t>
  </si>
  <si>
    <t>Godar</t>
  </si>
  <si>
    <t>611-71-8999</t>
  </si>
  <si>
    <t>Kmietsch</t>
  </si>
  <si>
    <t>279-74-0305</t>
  </si>
  <si>
    <t>Rotte</t>
  </si>
  <si>
    <t>795-20-4901</t>
  </si>
  <si>
    <t>Glossup</t>
  </si>
  <si>
    <t>717-51-2915</t>
  </si>
  <si>
    <t>Shiels</t>
  </si>
  <si>
    <t>724-59-7143</t>
  </si>
  <si>
    <t>Trewhella</t>
  </si>
  <si>
    <t>513-30-4773</t>
  </si>
  <si>
    <t>Andress</t>
  </si>
  <si>
    <t>195-26-8178</t>
  </si>
  <si>
    <t>Orrett</t>
  </si>
  <si>
    <t>545-22-1531</t>
  </si>
  <si>
    <t>Budnk</t>
  </si>
  <si>
    <t>729-35-9748</t>
  </si>
  <si>
    <t>552-17-8075</t>
  </si>
  <si>
    <t>142-78-7156</t>
  </si>
  <si>
    <t>Peller</t>
  </si>
  <si>
    <t>801-75-4801</t>
  </si>
  <si>
    <t>McShee</t>
  </si>
  <si>
    <t>698-20-8468</t>
  </si>
  <si>
    <t>Bohlsen</t>
  </si>
  <si>
    <t>590-94-5630</t>
  </si>
  <si>
    <t>Klementz</t>
  </si>
  <si>
    <t>589-07-2378</t>
  </si>
  <si>
    <t>Lindores</t>
  </si>
  <si>
    <t>769-26-7401</t>
  </si>
  <si>
    <t>Blackstock</t>
  </si>
  <si>
    <t>385-79-2506</t>
  </si>
  <si>
    <t>Haile</t>
  </si>
  <si>
    <t>602-47-8260</t>
  </si>
  <si>
    <t>Emloch</t>
  </si>
  <si>
    <t>887-69-1907</t>
  </si>
  <si>
    <t>Dowker</t>
  </si>
  <si>
    <t>631-01-2994</t>
  </si>
  <si>
    <t>Guinan</t>
  </si>
  <si>
    <t>437-30-1210</t>
  </si>
  <si>
    <t>Derle</t>
  </si>
  <si>
    <t>267-77-7081</t>
  </si>
  <si>
    <t>796-98-4459</t>
  </si>
  <si>
    <t>Outram</t>
  </si>
  <si>
    <t>204-51-5061</t>
  </si>
  <si>
    <t>Thys</t>
  </si>
  <si>
    <t>829-92-4746</t>
  </si>
  <si>
    <t>Cratchley</t>
  </si>
  <si>
    <t>390-95-2404</t>
  </si>
  <si>
    <t>335-70-9921</t>
  </si>
  <si>
    <t>Quinby</t>
  </si>
  <si>
    <t>341-94-2072</t>
  </si>
  <si>
    <t>Fashion</t>
  </si>
  <si>
    <t>279-67-2224</t>
  </si>
  <si>
    <t>Gainsboro</t>
  </si>
  <si>
    <t>401-65-8779</t>
  </si>
  <si>
    <t>Timms</t>
  </si>
  <si>
    <t>866-67-5375</t>
  </si>
  <si>
    <t>731-75-7101</t>
  </si>
  <si>
    <t>Simkovitz</t>
  </si>
  <si>
    <t>520-32-2321</t>
  </si>
  <si>
    <t>Antrack</t>
  </si>
  <si>
    <t>229-27-7861</t>
  </si>
  <si>
    <t>Attwater</t>
  </si>
  <si>
    <t>675-74-4830</t>
  </si>
  <si>
    <t>Mallia</t>
  </si>
  <si>
    <t>124-36-9054</t>
  </si>
  <si>
    <t>425-90-5163</t>
  </si>
  <si>
    <t>Hawtrey</t>
  </si>
  <si>
    <t>544-20-1544</t>
  </si>
  <si>
    <t>Leyrroyd</t>
  </si>
  <si>
    <t>878-59-3101</t>
  </si>
  <si>
    <t>Lawful</t>
  </si>
  <si>
    <t>491-79-2938</t>
  </si>
  <si>
    <t>Courage</t>
  </si>
  <si>
    <t>713-55-4167</t>
  </si>
  <si>
    <t>801-66-2184</t>
  </si>
  <si>
    <t>Hearon</t>
  </si>
  <si>
    <t>537-09-7772</t>
  </si>
  <si>
    <t>463-91-4655</t>
  </si>
  <si>
    <t>Oxtaby</t>
  </si>
  <si>
    <t>284-78-4415</t>
  </si>
  <si>
    <t>Creeghan</t>
  </si>
  <si>
    <t>426-82-0991</t>
  </si>
  <si>
    <t>Quartermain</t>
  </si>
  <si>
    <t>382-83-8347</t>
  </si>
  <si>
    <t>Grenshields</t>
  </si>
  <si>
    <t>562-51-1610</t>
  </si>
  <si>
    <t>558-19-1783</t>
  </si>
  <si>
    <t>Garaghan</t>
  </si>
  <si>
    <t>683-71-6277</t>
  </si>
  <si>
    <t>Batistelli</t>
  </si>
  <si>
    <t>141-16-6774</t>
  </si>
  <si>
    <t>Bakewell</t>
  </si>
  <si>
    <t>213-73-5378</t>
  </si>
  <si>
    <t>Strangeway</t>
  </si>
  <si>
    <t>331-79-8648</t>
  </si>
  <si>
    <t>Ayerst</t>
  </si>
  <si>
    <t>628-46-3223</t>
  </si>
  <si>
    <t>Wardle</t>
  </si>
  <si>
    <t>month</t>
  </si>
  <si>
    <t>day_of_the_week</t>
  </si>
  <si>
    <t>time_frame</t>
  </si>
  <si>
    <t>January</t>
  </si>
  <si>
    <t>February</t>
  </si>
  <si>
    <t>March</t>
  </si>
  <si>
    <t>April</t>
  </si>
  <si>
    <t>May</t>
  </si>
  <si>
    <t>June</t>
  </si>
  <si>
    <t>July</t>
  </si>
  <si>
    <t>August</t>
  </si>
  <si>
    <t>September</t>
  </si>
  <si>
    <t>October</t>
  </si>
  <si>
    <t>Count of patient_id</t>
  </si>
  <si>
    <t>Average of patient_sat_score</t>
  </si>
  <si>
    <t>Average of patient_waittime</t>
  </si>
  <si>
    <t>Row Labels</t>
  </si>
  <si>
    <t>Grand Total</t>
  </si>
  <si>
    <t>1-10</t>
  </si>
  <si>
    <t>11-20</t>
  </si>
  <si>
    <t>21-30</t>
  </si>
  <si>
    <t>31-40</t>
  </si>
  <si>
    <t>41-50</t>
  </si>
  <si>
    <t>51-60</t>
  </si>
  <si>
    <t>61-70</t>
  </si>
  <si>
    <t>71-80</t>
  </si>
  <si>
    <t>Orthopedics Analytics Dashboard (2023)</t>
  </si>
  <si>
    <t># of Patients</t>
  </si>
  <si>
    <t>Average PSAT Score</t>
  </si>
  <si>
    <t>Average Wait Time (Min)</t>
  </si>
  <si>
    <t>(All)</t>
  </si>
  <si>
    <t>Months</t>
  </si>
  <si>
    <t>Avg PSAT Score</t>
  </si>
  <si>
    <t xml:space="preserve"> </t>
  </si>
  <si>
    <t>v</t>
  </si>
  <si>
    <t>Wait Time</t>
  </si>
  <si>
    <t>Patients</t>
  </si>
  <si>
    <r>
      <t xml:space="preserve">What was our </t>
    </r>
    <r>
      <rPr>
        <b/>
        <sz val="13"/>
        <color theme="1"/>
        <rFont val="Calibri"/>
        <family val="2"/>
      </rPr>
      <t>Average Patient Score</t>
    </r>
    <r>
      <rPr>
        <sz val="13"/>
        <color theme="1"/>
        <rFont val="Calibri"/>
        <family val="2"/>
      </rPr>
      <t>?</t>
    </r>
  </si>
  <si>
    <t>Please use the filters to the left to look for your specific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</si>
</sst>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6" formatCode="[$-F400]h:mm:ss\ AM/PM"/>
    <numFmt numFmtId="173" formatCode="0.0"/>
    <numFmt numFmtId="174" formatCode="[$-409]h:mm\ AM/PM;@"/>
  </numFmts>
  <fonts count="11" x14ac:knownFonts="1">
    <font>
      <sz val="11"/>
      <color theme="1"/>
      <name val="Aptos Narrow"/>
      <family val="2"/>
      <scheme val="minor"/>
    </font>
    <font>
      <b/>
      <sz val="11"/>
      <color theme="1"/>
      <name val="Aptos Narrow"/>
      <family val="2"/>
      <scheme val="minor"/>
    </font>
    <font>
      <b/>
      <sz val="16"/>
      <color theme="1"/>
      <name val="Aptos Narrow"/>
      <family val="2"/>
      <scheme val="minor"/>
    </font>
    <font>
      <b/>
      <sz val="18"/>
      <color theme="1"/>
      <name val="Aptos Narrow"/>
      <family val="2"/>
      <scheme val="minor"/>
    </font>
    <font>
      <b/>
      <sz val="48"/>
      <color theme="1"/>
      <name val="Calibri"/>
      <family val="2"/>
    </font>
    <font>
      <sz val="13"/>
      <color theme="1"/>
      <name val="Calibri"/>
      <family val="2"/>
    </font>
    <font>
      <b/>
      <sz val="13"/>
      <color theme="1"/>
      <name val="Calibri"/>
      <family val="2"/>
    </font>
    <font>
      <sz val="18"/>
      <color theme="1"/>
      <name val="Aptos Narrow"/>
      <family val="2"/>
      <scheme val="minor"/>
    </font>
    <font>
      <b/>
      <sz val="14"/>
      <color theme="0"/>
      <name val="Aptos Narrow"/>
      <family val="2"/>
      <scheme val="minor"/>
    </font>
    <font>
      <b/>
      <sz val="36"/>
      <color theme="0"/>
      <name val="Calibri"/>
      <family val="2"/>
    </font>
    <font>
      <sz val="36"/>
      <color theme="0"/>
      <name val="Calibri"/>
      <family val="2"/>
    </font>
  </fonts>
  <fills count="4">
    <fill>
      <patternFill patternType="none"/>
    </fill>
    <fill>
      <patternFill patternType="gray125"/>
    </fill>
    <fill>
      <patternFill patternType="solid">
        <fgColor theme="3" tint="0.89999084444715716"/>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33">
    <xf numFmtId="0" fontId="0" fillId="0" borderId="0" xfId="0"/>
    <xf numFmtId="0" fontId="1" fillId="0" borderId="0" xfId="0" applyFont="1"/>
    <xf numFmtId="22" fontId="0" fillId="0" borderId="0" xfId="0" applyNumberFormat="1"/>
    <xf numFmtId="0" fontId="0" fillId="0" borderId="0" xfId="0" applyBorder="1"/>
    <xf numFmtId="0" fontId="0" fillId="0" borderId="0" xfId="0" applyNumberFormat="1"/>
    <xf numFmtId="173" fontId="0" fillId="0" borderId="0" xfId="0" applyNumberFormat="1"/>
    <xf numFmtId="1" fontId="0" fillId="0" borderId="0" xfId="0" applyNumberFormat="1"/>
    <xf numFmtId="0" fontId="0" fillId="0" borderId="0" xfId="0" pivotButton="1"/>
    <xf numFmtId="0" fontId="0" fillId="0" borderId="0" xfId="0" applyAlignment="1">
      <alignment horizontal="left"/>
    </xf>
    <xf numFmtId="166" fontId="0" fillId="0" borderId="0" xfId="0" applyNumberFormat="1" applyAlignment="1">
      <alignment horizontal="left"/>
    </xf>
    <xf numFmtId="174" fontId="0" fillId="0" borderId="0" xfId="0" applyNumberFormat="1" applyAlignment="1">
      <alignment horizontal="left"/>
    </xf>
    <xf numFmtId="0" fontId="4" fillId="0" borderId="0" xfId="0" applyFont="1" applyBorder="1" applyAlignment="1">
      <alignment horizontal="center" vertical="center"/>
    </xf>
    <xf numFmtId="173" fontId="4" fillId="0" borderId="0" xfId="0" applyNumberFormat="1" applyFont="1" applyBorder="1" applyAlignment="1">
      <alignment horizontal="center" vertical="center"/>
    </xf>
    <xf numFmtId="1" fontId="4" fillId="0" borderId="0" xfId="0" applyNumberFormat="1" applyFont="1" applyBorder="1" applyAlignment="1">
      <alignment horizontal="center" vertical="center"/>
    </xf>
    <xf numFmtId="173" fontId="0" fillId="0" borderId="0" xfId="0" applyNumberFormat="1" applyAlignment="1">
      <alignment horizontal="center" vertical="center"/>
    </xf>
    <xf numFmtId="0" fontId="0" fillId="0" borderId="0" xfId="0" applyNumberFormat="1" applyAlignment="1">
      <alignment horizontal="center" vertical="center"/>
    </xf>
    <xf numFmtId="0" fontId="2" fillId="2" borderId="0" xfId="0" applyFont="1" applyFill="1" applyAlignment="1">
      <alignment horizontal="left"/>
    </xf>
    <xf numFmtId="173" fontId="2" fillId="2" borderId="0" xfId="0" applyNumberFormat="1" applyFont="1" applyFill="1" applyAlignment="1">
      <alignment horizontal="center" vertical="center"/>
    </xf>
    <xf numFmtId="0" fontId="2" fillId="2" borderId="0" xfId="0" applyNumberFormat="1" applyFont="1" applyFill="1" applyAlignment="1">
      <alignment horizontal="center" vertical="center"/>
    </xf>
    <xf numFmtId="0" fontId="0" fillId="0" borderId="0" xfId="0" pivotButton="1" applyBorder="1"/>
    <xf numFmtId="173" fontId="0" fillId="0" borderId="0" xfId="0" applyNumberFormat="1" applyBorder="1" applyAlignment="1">
      <alignment horizontal="center" vertical="center"/>
    </xf>
    <xf numFmtId="0" fontId="0" fillId="0" borderId="0" xfId="0" applyBorder="1" applyAlignment="1">
      <alignment horizontal="center" vertical="center"/>
    </xf>
    <xf numFmtId="0" fontId="2" fillId="2" borderId="0" xfId="0" applyFont="1" applyFill="1" applyBorder="1" applyAlignment="1">
      <alignment horizontal="left"/>
    </xf>
    <xf numFmtId="173" fontId="2" fillId="2" borderId="0" xfId="0" applyNumberFormat="1" applyFont="1" applyFill="1" applyBorder="1" applyAlignment="1">
      <alignment horizontal="center" vertical="center"/>
    </xf>
    <xf numFmtId="0" fontId="2" fillId="2" borderId="0" xfId="0" applyNumberFormat="1" applyFont="1" applyFill="1" applyBorder="1" applyAlignment="1">
      <alignment horizontal="center" vertical="center"/>
    </xf>
    <xf numFmtId="174" fontId="1" fillId="0" borderId="0" xfId="0" applyNumberFormat="1" applyFont="1"/>
    <xf numFmtId="174" fontId="0" fillId="0" borderId="0" xfId="0" applyNumberFormat="1"/>
    <xf numFmtId="0" fontId="5" fillId="0" borderId="0" xfId="0" applyFont="1" applyAlignment="1">
      <alignment horizontal="center" vertical="center"/>
    </xf>
    <xf numFmtId="0" fontId="8" fillId="3" borderId="0" xfId="0" applyFont="1" applyFill="1" applyBorder="1" applyAlignment="1">
      <alignment horizontal="center" vertical="center"/>
    </xf>
    <xf numFmtId="0" fontId="9" fillId="3" borderId="0" xfId="0" applyFont="1" applyFill="1" applyBorder="1" applyAlignment="1">
      <alignment horizontal="left" vertical="center"/>
    </xf>
    <xf numFmtId="0" fontId="10" fillId="3" borderId="0" xfId="0" applyFont="1" applyFill="1" applyBorder="1" applyAlignment="1">
      <alignment horizontal="left" vertical="center"/>
    </xf>
    <xf numFmtId="0" fontId="3" fillId="0" borderId="0" xfId="0" applyFont="1" applyBorder="1" applyAlignment="1">
      <alignment horizontal="left" vertical="center"/>
    </xf>
    <xf numFmtId="0" fontId="7" fillId="0" borderId="0" xfId="0" applyFont="1" applyBorder="1" applyAlignment="1">
      <alignment horizontal="left" vertical="center"/>
    </xf>
  </cellXfs>
  <cellStyles count="1">
    <cellStyle name="Normal" xfId="0" builtinId="0"/>
  </cellStyles>
  <dxfs count="30">
    <dxf>
      <numFmt numFmtId="174" formatCode="[$-409]h:mm\ AM/PM;@"/>
    </dxf>
    <dxf>
      <numFmt numFmtId="1" formatCode="0"/>
    </dxf>
    <dxf>
      <numFmt numFmtId="173" formatCode="0.0"/>
    </dxf>
    <dxf>
      <numFmt numFmtId="1" formatCode="0"/>
    </dxf>
    <dxf>
      <numFmt numFmtId="173" formatCode="0.0"/>
    </dxf>
    <dxf>
      <numFmt numFmtId="173" formatCode="0.0"/>
    </dxf>
    <dxf>
      <numFmt numFmtId="173" formatCode="0.0"/>
    </dxf>
    <dxf>
      <numFmt numFmtId="173" formatCode="0.0"/>
    </dxf>
    <dxf>
      <alignment horizontal="center"/>
    </dxf>
    <dxf>
      <alignment horizontal="center"/>
    </dxf>
    <dxf>
      <alignment vertical="center"/>
    </dxf>
    <dxf>
      <alignment vertical="center"/>
    </dxf>
    <dxf>
      <font>
        <sz val="14"/>
      </font>
    </dxf>
    <dxf>
      <font>
        <sz val="16"/>
      </font>
    </dxf>
    <dxf>
      <font>
        <sz val="16"/>
      </font>
    </dxf>
    <dxf>
      <font>
        <b/>
      </font>
    </dxf>
    <dxf>
      <font>
        <b/>
      </font>
    </dxf>
    <dxf>
      <fill>
        <patternFill patternType="solid">
          <bgColor theme="3" tint="0.89999084444715716"/>
        </patternFill>
      </fill>
    </dxf>
    <dxf>
      <fill>
        <patternFill patternType="solid">
          <bgColor theme="3" tint="0.89999084444715716"/>
        </patternFill>
      </fill>
    </dxf>
    <dxf>
      <border>
        <left/>
      </border>
    </dxf>
    <dxf>
      <border>
        <left/>
      </border>
    </dxf>
    <dxf>
      <border>
        <left/>
      </border>
    </dxf>
    <dxf>
      <border>
        <left/>
      </border>
    </dxf>
    <dxf>
      <font>
        <b/>
        <i val="0"/>
        <sz val="11"/>
      </font>
    </dxf>
    <dxf>
      <font>
        <b/>
        <i val="0"/>
        <sz val="12"/>
        <color theme="0"/>
      </font>
      <fill>
        <patternFill>
          <bgColor theme="4" tint="-0.24994659260841701"/>
        </patternFill>
      </fill>
    </dxf>
    <dxf>
      <numFmt numFmtId="174" formatCode="[$-409]h:mm\ AM/PM;@"/>
    </dxf>
    <dxf>
      <font>
        <b/>
        <i val="0"/>
        <strike val="0"/>
        <condense val="0"/>
        <extend val="0"/>
        <outline val="0"/>
        <shadow val="0"/>
        <u val="none"/>
        <vertAlign val="baseline"/>
        <sz val="11"/>
        <color theme="1"/>
        <name val="Aptos Narrow"/>
        <family val="2"/>
        <scheme val="minor"/>
      </font>
    </dxf>
    <dxf>
      <numFmt numFmtId="27" formatCode="m/d/yyyy\ h:mm"/>
    </dxf>
    <dxf>
      <numFmt numFmtId="27" formatCode="m/d/yyyy\ h:mm"/>
    </dxf>
    <dxf>
      <numFmt numFmtId="27" formatCode="m/d/yyyy\ h:mm"/>
    </dxf>
  </dxfs>
  <tableStyles count="1" defaultTableStyle="TableStyleMedium2" defaultPivotStyle="PivotStyleLight16">
    <tableStyle name="Orthopedic Slicer" pivot="0" table="0" count="5" xr9:uid="{CE3573D2-84A6-4033-81E9-A4A9554C92EF}">
      <tableStyleElement type="wholeTable" dxfId="23"/>
      <tableStyleElement type="headerRow" dxfId="24"/>
    </tableStyle>
  </tableStyles>
  <colors>
    <mruColors>
      <color rgb="FF135F77"/>
    </mruColors>
  </colors>
  <extLst>
    <ext xmlns:x14="http://schemas.microsoft.com/office/spreadsheetml/2009/9/main" uri="{46F421CA-312F-682f-3DD2-61675219B42D}">
      <x14:dxfs count="3">
        <dxf>
          <fill>
            <patternFill>
              <bgColor rgb="FF0070C0"/>
            </patternFill>
          </fill>
        </dxf>
        <dxf>
          <fill>
            <patternFill>
              <bgColor theme="3" tint="0.89996032593768116"/>
            </patternFill>
          </fill>
        </dxf>
        <dxf>
          <fill>
            <patternFill>
              <bgColor theme="3" tint="0.499984740745262"/>
            </patternFill>
          </fill>
        </dxf>
      </x14:dxfs>
    </ext>
    <ext xmlns:x14="http://schemas.microsoft.com/office/spreadsheetml/2009/9/main" uri="{EB79DEF2-80B8-43e5-95BD-54CBDDF9020C}">
      <x14:slicerStyles defaultSlicerStyle="SlicerStyleLight1">
        <x14:slicerStyle name="Orthopedic Slicer">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[Orthopedics Analytics Project.xlsx]Age Bracket!Age Bracket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latin typeface="Calibri" panose="020F0502020204030204" pitchFamily="34" charset="0"/>
                <a:cs typeface="Calibri" panose="020F0502020204030204" pitchFamily="34" charset="0"/>
              </a:rPr>
              <a:t>How many </a:t>
            </a:r>
            <a:r>
              <a:rPr lang="en-US" sz="1600" b="1">
                <a:latin typeface="Calibri" panose="020F0502020204030204" pitchFamily="34" charset="0"/>
                <a:cs typeface="Calibri" panose="020F0502020204030204" pitchFamily="34" charset="0"/>
              </a:rPr>
              <a:t>Patients</a:t>
            </a:r>
            <a:r>
              <a:rPr lang="en-US" sz="1600" baseline="0">
                <a:latin typeface="Calibri" panose="020F0502020204030204" pitchFamily="34" charset="0"/>
                <a:cs typeface="Calibri" panose="020F0502020204030204" pitchFamily="34" charset="0"/>
              </a:rPr>
              <a:t> were there in each </a:t>
            </a:r>
            <a:r>
              <a:rPr lang="en-US" sz="1600" b="1" baseline="0">
                <a:latin typeface="Calibri" panose="020F0502020204030204" pitchFamily="34" charset="0"/>
                <a:cs typeface="Calibri" panose="020F0502020204030204" pitchFamily="34" charset="0"/>
              </a:rPr>
              <a:t>Age Bracket</a:t>
            </a:r>
            <a:r>
              <a:rPr lang="en-US" sz="1600" baseline="0">
                <a:latin typeface="Calibri" panose="020F0502020204030204" pitchFamily="34" charset="0"/>
                <a:cs typeface="Calibri" panose="020F0502020204030204" pitchFamily="34" charset="0"/>
              </a:rPr>
              <a:t>?</a:t>
            </a:r>
            <a:endParaRPr lang="en-US" sz="1600">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Bracket'!$D$5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Bracket'!$C$6:$C$14</c:f>
              <c:strCache>
                <c:ptCount val="8"/>
                <c:pt idx="0">
                  <c:v>1-10</c:v>
                </c:pt>
                <c:pt idx="1">
                  <c:v>11-20</c:v>
                </c:pt>
                <c:pt idx="2">
                  <c:v>21-30</c:v>
                </c:pt>
                <c:pt idx="3">
                  <c:v>31-40</c:v>
                </c:pt>
                <c:pt idx="4">
                  <c:v>41-50</c:v>
                </c:pt>
                <c:pt idx="5">
                  <c:v>51-60</c:v>
                </c:pt>
                <c:pt idx="6">
                  <c:v>61-70</c:v>
                </c:pt>
                <c:pt idx="7">
                  <c:v>71-80</c:v>
                </c:pt>
              </c:strCache>
            </c:strRef>
          </c:cat>
          <c:val>
            <c:numRef>
              <c:f>'Age Bracket'!$D$6:$D$14</c:f>
              <c:numCache>
                <c:formatCode>General</c:formatCode>
                <c:ptCount val="8"/>
                <c:pt idx="0">
                  <c:v>73</c:v>
                </c:pt>
                <c:pt idx="1">
                  <c:v>62</c:v>
                </c:pt>
                <c:pt idx="2">
                  <c:v>70</c:v>
                </c:pt>
                <c:pt idx="3">
                  <c:v>70</c:v>
                </c:pt>
                <c:pt idx="4">
                  <c:v>62</c:v>
                </c:pt>
                <c:pt idx="5">
                  <c:v>70</c:v>
                </c:pt>
                <c:pt idx="6">
                  <c:v>67</c:v>
                </c:pt>
                <c:pt idx="7">
                  <c:v>57</c:v>
                </c:pt>
              </c:numCache>
            </c:numRef>
          </c:val>
          <c:extLst>
            <c:ext xmlns:c16="http://schemas.microsoft.com/office/drawing/2014/chart" uri="{C3380CC4-5D6E-409C-BE32-E72D297353CC}">
              <c16:uniqueId val="{00000000-9986-4F13-A3C8-02D7626C7F65}"/>
            </c:ext>
          </c:extLst>
        </c:ser>
        <c:dLbls>
          <c:showLegendKey val="0"/>
          <c:showVal val="0"/>
          <c:showCatName val="0"/>
          <c:showSerName val="0"/>
          <c:showPercent val="0"/>
          <c:showBubbleSize val="0"/>
        </c:dLbls>
        <c:gapWidth val="219"/>
        <c:overlap val="-27"/>
        <c:axId val="76304784"/>
        <c:axId val="76308144"/>
      </c:barChart>
      <c:catAx>
        <c:axId val="76304784"/>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a:t>Age</a:t>
                </a:r>
                <a:r>
                  <a:rPr lang="en-US" sz="1200" b="1" baseline="0"/>
                  <a:t> Bracket</a:t>
                </a:r>
                <a:endParaRPr lang="en-US" sz="1200" b="1"/>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76308144"/>
        <c:crosses val="autoZero"/>
        <c:auto val="1"/>
        <c:lblAlgn val="ctr"/>
        <c:lblOffset val="100"/>
        <c:noMultiLvlLbl val="0"/>
      </c:catAx>
      <c:valAx>
        <c:axId val="76308144"/>
        <c:scaling>
          <c:orientation val="minMax"/>
        </c:scaling>
        <c:delete val="1"/>
        <c:axPos val="l"/>
        <c:numFmt formatCode="General" sourceLinked="1"/>
        <c:majorTickMark val="none"/>
        <c:minorTickMark val="none"/>
        <c:tickLblPos val="nextTo"/>
        <c:crossAx val="7630478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[Orthopedics Analytics Project.xlsx]Patients &amp; Wait Time by Time!Wait Time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latin typeface="Calibri" panose="020F0502020204030204" pitchFamily="34" charset="0"/>
                <a:cs typeface="Calibri" panose="020F0502020204030204" pitchFamily="34" charset="0"/>
              </a:rPr>
              <a:t>Is</a:t>
            </a:r>
            <a:r>
              <a:rPr lang="en-US" sz="1600" baseline="0">
                <a:latin typeface="Calibri" panose="020F0502020204030204" pitchFamily="34" charset="0"/>
                <a:cs typeface="Calibri" panose="020F0502020204030204" pitchFamily="34" charset="0"/>
              </a:rPr>
              <a:t> there a </a:t>
            </a:r>
            <a:r>
              <a:rPr lang="en-US" sz="1600" b="1" baseline="0">
                <a:latin typeface="Calibri" panose="020F0502020204030204" pitchFamily="34" charset="0"/>
                <a:cs typeface="Calibri" panose="020F0502020204030204" pitchFamily="34" charset="0"/>
              </a:rPr>
              <a:t>correlation</a:t>
            </a:r>
            <a:r>
              <a:rPr lang="en-US" sz="1600" baseline="0">
                <a:latin typeface="Calibri" panose="020F0502020204030204" pitchFamily="34" charset="0"/>
                <a:cs typeface="Calibri" panose="020F0502020204030204" pitchFamily="34" charset="0"/>
              </a:rPr>
              <a:t> between the </a:t>
            </a:r>
            <a:r>
              <a:rPr lang="en-US" sz="1600" b="1" baseline="0">
                <a:latin typeface="Calibri" panose="020F0502020204030204" pitchFamily="34" charset="0"/>
                <a:cs typeface="Calibri" panose="020F0502020204030204" pitchFamily="34" charset="0"/>
              </a:rPr>
              <a:t>Wait TIme</a:t>
            </a:r>
            <a:r>
              <a:rPr lang="en-US" sz="1600" baseline="0">
                <a:latin typeface="Calibri" panose="020F0502020204030204" pitchFamily="34" charset="0"/>
                <a:cs typeface="Calibri" panose="020F0502020204030204" pitchFamily="34" charset="0"/>
              </a:rPr>
              <a:t> and the </a:t>
            </a:r>
            <a:r>
              <a:rPr lang="en-US" sz="1600" b="1" baseline="0">
                <a:latin typeface="Calibri" panose="020F0502020204030204" pitchFamily="34" charset="0"/>
                <a:cs typeface="Calibri" panose="020F0502020204030204" pitchFamily="34" charset="0"/>
              </a:rPr>
              <a:t>Number of Patients?</a:t>
            </a:r>
            <a:endParaRPr lang="en-US" sz="1600" b="1">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974235274013118E-2"/>
          <c:y val="0.13519708827937293"/>
          <c:w val="0.96248340409869471"/>
          <c:h val="0.74364488426862052"/>
        </c:manualLayout>
      </c:layout>
      <c:barChart>
        <c:barDir val="col"/>
        <c:grouping val="clustered"/>
        <c:varyColors val="0"/>
        <c:ser>
          <c:idx val="0"/>
          <c:order val="0"/>
          <c:tx>
            <c:strRef>
              <c:f>'Patients &amp; Wait Time by Time'!$D$5</c:f>
              <c:strCache>
                <c:ptCount val="1"/>
                <c:pt idx="0">
                  <c:v>Wait Time</c:v>
                </c:pt>
              </c:strCache>
            </c:strRef>
          </c:tx>
          <c:spPr>
            <a:solidFill>
              <a:schemeClr val="accent1"/>
            </a:solidFill>
            <a:ln>
              <a:noFill/>
            </a:ln>
            <a:effectLst/>
          </c:spPr>
          <c:invertIfNegative val="0"/>
          <c:cat>
            <c:strRef>
              <c:f>'Patients &amp; Wait Time by Time'!$C$6:$C$30</c:f>
              <c:strCache>
                <c:ptCount val="24"/>
                <c:pt idx="0">
                  <c:v>12:00:00 AM</c:v>
                </c:pt>
                <c:pt idx="1">
                  <c:v>1:00:00 AM</c:v>
                </c:pt>
                <c:pt idx="2">
                  <c:v>2:00:00 AM</c:v>
                </c:pt>
                <c:pt idx="3">
                  <c:v>3:00:00 AM</c:v>
                </c:pt>
                <c:pt idx="4">
                  <c:v>4:00:00 AM</c:v>
                </c:pt>
                <c:pt idx="5">
                  <c:v>5:00:00 AM</c:v>
                </c:pt>
                <c:pt idx="6">
                  <c:v>6:00:00 AM</c:v>
                </c:pt>
                <c:pt idx="7">
                  <c:v>7:00:00 AM</c:v>
                </c:pt>
                <c:pt idx="8">
                  <c:v>8:00:00 AM</c:v>
                </c:pt>
                <c:pt idx="9">
                  <c:v>9:00:00 AM</c:v>
                </c:pt>
                <c:pt idx="10">
                  <c:v>10:00:00 AM</c:v>
                </c:pt>
                <c:pt idx="11">
                  <c:v>11:00:00 AM</c:v>
                </c:pt>
                <c:pt idx="12">
                  <c:v>12:00:00 PM</c:v>
                </c:pt>
                <c:pt idx="13">
                  <c:v>1:00:00 PM</c:v>
                </c:pt>
                <c:pt idx="14">
                  <c:v>2:00:00 PM</c:v>
                </c:pt>
                <c:pt idx="15">
                  <c:v>3:00:00 PM</c:v>
                </c:pt>
                <c:pt idx="16">
                  <c:v>4:00:00 PM</c:v>
                </c:pt>
                <c:pt idx="17">
                  <c:v>5:00:00 PM</c:v>
                </c:pt>
                <c:pt idx="18">
                  <c:v>6:00:00 PM</c:v>
                </c:pt>
                <c:pt idx="19">
                  <c:v>7:00:00 PM</c:v>
                </c:pt>
                <c:pt idx="20">
                  <c:v>8:00:00 PM</c:v>
                </c:pt>
                <c:pt idx="21">
                  <c:v>9:00:00 PM</c:v>
                </c:pt>
                <c:pt idx="22">
                  <c:v>10:00:00 PM</c:v>
                </c:pt>
                <c:pt idx="23">
                  <c:v>11:00:00 PM</c:v>
                </c:pt>
              </c:strCache>
            </c:strRef>
          </c:cat>
          <c:val>
            <c:numRef>
              <c:f>'Patients &amp; Wait Time by Time'!$D$6:$D$30</c:f>
              <c:numCache>
                <c:formatCode>0</c:formatCode>
                <c:ptCount val="24"/>
                <c:pt idx="0">
                  <c:v>30.708333333333332</c:v>
                </c:pt>
                <c:pt idx="1">
                  <c:v>32.869565217391305</c:v>
                </c:pt>
                <c:pt idx="2">
                  <c:v>37.5</c:v>
                </c:pt>
                <c:pt idx="3">
                  <c:v>37.6</c:v>
                </c:pt>
                <c:pt idx="4">
                  <c:v>38.875</c:v>
                </c:pt>
                <c:pt idx="5">
                  <c:v>40.421052631578945</c:v>
                </c:pt>
                <c:pt idx="6">
                  <c:v>36.055555555555557</c:v>
                </c:pt>
                <c:pt idx="7">
                  <c:v>37.523809523809526</c:v>
                </c:pt>
                <c:pt idx="8">
                  <c:v>36.857142857142854</c:v>
                </c:pt>
                <c:pt idx="9">
                  <c:v>37.787878787878789</c:v>
                </c:pt>
                <c:pt idx="10">
                  <c:v>31.05263157894737</c:v>
                </c:pt>
                <c:pt idx="11">
                  <c:v>34.071428571428569</c:v>
                </c:pt>
                <c:pt idx="12">
                  <c:v>34.789473684210527</c:v>
                </c:pt>
                <c:pt idx="13">
                  <c:v>39.666666666666664</c:v>
                </c:pt>
                <c:pt idx="14">
                  <c:v>38.1</c:v>
                </c:pt>
                <c:pt idx="15">
                  <c:v>36.80952380952381</c:v>
                </c:pt>
                <c:pt idx="16">
                  <c:v>32.56666666666667</c:v>
                </c:pt>
                <c:pt idx="17">
                  <c:v>37.24</c:v>
                </c:pt>
                <c:pt idx="18">
                  <c:v>31.925925925925927</c:v>
                </c:pt>
                <c:pt idx="19">
                  <c:v>30.772727272727273</c:v>
                </c:pt>
                <c:pt idx="20">
                  <c:v>33.571428571428569</c:v>
                </c:pt>
                <c:pt idx="21">
                  <c:v>34</c:v>
                </c:pt>
                <c:pt idx="22">
                  <c:v>37.090909090909093</c:v>
                </c:pt>
                <c:pt idx="23">
                  <c:v>40.896551724137929</c:v>
                </c:pt>
              </c:numCache>
            </c:numRef>
          </c:val>
          <c:extLst>
            <c:ext xmlns:c16="http://schemas.microsoft.com/office/drawing/2014/chart" uri="{C3380CC4-5D6E-409C-BE32-E72D297353CC}">
              <c16:uniqueId val="{00000000-676D-46F6-B73B-09059FA2A784}"/>
            </c:ext>
          </c:extLst>
        </c:ser>
        <c:dLbls>
          <c:showLegendKey val="0"/>
          <c:showVal val="0"/>
          <c:showCatName val="0"/>
          <c:showSerName val="0"/>
          <c:showPercent val="0"/>
          <c:showBubbleSize val="0"/>
        </c:dLbls>
        <c:gapWidth val="219"/>
        <c:overlap val="-27"/>
        <c:axId val="393451616"/>
        <c:axId val="393452576"/>
      </c:barChart>
      <c:lineChart>
        <c:grouping val="standard"/>
        <c:varyColors val="0"/>
        <c:ser>
          <c:idx val="1"/>
          <c:order val="1"/>
          <c:tx>
            <c:strRef>
              <c:f>'Patients &amp; Wait Time by Time'!$E$5</c:f>
              <c:strCache>
                <c:ptCount val="1"/>
                <c:pt idx="0">
                  <c:v>Patients</c:v>
                </c:pt>
              </c:strCache>
            </c:strRef>
          </c:tx>
          <c:spPr>
            <a:ln w="28575" cap="rnd">
              <a:solidFill>
                <a:schemeClr val="accent2"/>
              </a:solidFill>
              <a:round/>
            </a:ln>
            <a:effectLst/>
          </c:spPr>
          <c:marker>
            <c:symbol val="none"/>
          </c:marker>
          <c:cat>
            <c:strRef>
              <c:f>'Patients &amp; Wait Time by Time'!$C$6:$C$30</c:f>
              <c:strCache>
                <c:ptCount val="24"/>
                <c:pt idx="0">
                  <c:v>12:00:00 AM</c:v>
                </c:pt>
                <c:pt idx="1">
                  <c:v>1:00:00 AM</c:v>
                </c:pt>
                <c:pt idx="2">
                  <c:v>2:00:00 AM</c:v>
                </c:pt>
                <c:pt idx="3">
                  <c:v>3:00:00 AM</c:v>
                </c:pt>
                <c:pt idx="4">
                  <c:v>4:00:00 AM</c:v>
                </c:pt>
                <c:pt idx="5">
                  <c:v>5:00:00 AM</c:v>
                </c:pt>
                <c:pt idx="6">
                  <c:v>6:00:00 AM</c:v>
                </c:pt>
                <c:pt idx="7">
                  <c:v>7:00:00 AM</c:v>
                </c:pt>
                <c:pt idx="8">
                  <c:v>8:00:00 AM</c:v>
                </c:pt>
                <c:pt idx="9">
                  <c:v>9:00:00 AM</c:v>
                </c:pt>
                <c:pt idx="10">
                  <c:v>10:00:00 AM</c:v>
                </c:pt>
                <c:pt idx="11">
                  <c:v>11:00:00 AM</c:v>
                </c:pt>
                <c:pt idx="12">
                  <c:v>12:00:00 PM</c:v>
                </c:pt>
                <c:pt idx="13">
                  <c:v>1:00:00 PM</c:v>
                </c:pt>
                <c:pt idx="14">
                  <c:v>2:00:00 PM</c:v>
                </c:pt>
                <c:pt idx="15">
                  <c:v>3:00:00 PM</c:v>
                </c:pt>
                <c:pt idx="16">
                  <c:v>4:00:00 PM</c:v>
                </c:pt>
                <c:pt idx="17">
                  <c:v>5:00:00 PM</c:v>
                </c:pt>
                <c:pt idx="18">
                  <c:v>6:00:00 PM</c:v>
                </c:pt>
                <c:pt idx="19">
                  <c:v>7:00:00 PM</c:v>
                </c:pt>
                <c:pt idx="20">
                  <c:v>8:00:00 PM</c:v>
                </c:pt>
                <c:pt idx="21">
                  <c:v>9:00:00 PM</c:v>
                </c:pt>
                <c:pt idx="22">
                  <c:v>10:00:00 PM</c:v>
                </c:pt>
                <c:pt idx="23">
                  <c:v>11:00:00 PM</c:v>
                </c:pt>
              </c:strCache>
            </c:strRef>
          </c:cat>
          <c:val>
            <c:numRef>
              <c:f>'Patients &amp; Wait Time by Time'!$E$6:$E$30</c:f>
              <c:numCache>
                <c:formatCode>General</c:formatCode>
                <c:ptCount val="24"/>
                <c:pt idx="0">
                  <c:v>24</c:v>
                </c:pt>
                <c:pt idx="1">
                  <c:v>23</c:v>
                </c:pt>
                <c:pt idx="2">
                  <c:v>28</c:v>
                </c:pt>
                <c:pt idx="3">
                  <c:v>25</c:v>
                </c:pt>
                <c:pt idx="4">
                  <c:v>16</c:v>
                </c:pt>
                <c:pt idx="5">
                  <c:v>19</c:v>
                </c:pt>
                <c:pt idx="6">
                  <c:v>18</c:v>
                </c:pt>
                <c:pt idx="7">
                  <c:v>21</c:v>
                </c:pt>
                <c:pt idx="8">
                  <c:v>21</c:v>
                </c:pt>
                <c:pt idx="9">
                  <c:v>33</c:v>
                </c:pt>
                <c:pt idx="10">
                  <c:v>19</c:v>
                </c:pt>
                <c:pt idx="11">
                  <c:v>14</c:v>
                </c:pt>
                <c:pt idx="12">
                  <c:v>19</c:v>
                </c:pt>
                <c:pt idx="13">
                  <c:v>21</c:v>
                </c:pt>
                <c:pt idx="14">
                  <c:v>20</c:v>
                </c:pt>
                <c:pt idx="15">
                  <c:v>21</c:v>
                </c:pt>
                <c:pt idx="16">
                  <c:v>30</c:v>
                </c:pt>
                <c:pt idx="17">
                  <c:v>25</c:v>
                </c:pt>
                <c:pt idx="18">
                  <c:v>27</c:v>
                </c:pt>
                <c:pt idx="19">
                  <c:v>22</c:v>
                </c:pt>
                <c:pt idx="20">
                  <c:v>14</c:v>
                </c:pt>
                <c:pt idx="21">
                  <c:v>20</c:v>
                </c:pt>
                <c:pt idx="22">
                  <c:v>22</c:v>
                </c:pt>
                <c:pt idx="23">
                  <c:v>29</c:v>
                </c:pt>
              </c:numCache>
            </c:numRef>
          </c:val>
          <c:smooth val="0"/>
          <c:extLst>
            <c:ext xmlns:c16="http://schemas.microsoft.com/office/drawing/2014/chart" uri="{C3380CC4-5D6E-409C-BE32-E72D297353CC}">
              <c16:uniqueId val="{00000001-676D-46F6-B73B-09059FA2A784}"/>
            </c:ext>
          </c:extLst>
        </c:ser>
        <c:dLbls>
          <c:showLegendKey val="0"/>
          <c:showVal val="0"/>
          <c:showCatName val="0"/>
          <c:showSerName val="0"/>
          <c:showPercent val="0"/>
          <c:showBubbleSize val="0"/>
        </c:dLbls>
        <c:marker val="1"/>
        <c:smooth val="0"/>
        <c:axId val="393451616"/>
        <c:axId val="393452576"/>
      </c:lineChart>
      <c:catAx>
        <c:axId val="39345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452576"/>
        <c:crosses val="autoZero"/>
        <c:auto val="1"/>
        <c:lblAlgn val="ctr"/>
        <c:lblOffset val="100"/>
        <c:noMultiLvlLbl val="0"/>
      </c:catAx>
      <c:valAx>
        <c:axId val="3934525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451616"/>
        <c:crosses val="autoZero"/>
        <c:crossBetween val="between"/>
      </c:valAx>
      <c:spPr>
        <a:noFill/>
        <a:ln w="25400">
          <a:noFill/>
        </a:ln>
        <a:effectLst/>
      </c:spPr>
    </c:plotArea>
    <c:legend>
      <c:legendPos val="tr"/>
      <c:layout>
        <c:manualLayout>
          <c:xMode val="edge"/>
          <c:yMode val="edge"/>
          <c:x val="0.93454070310584436"/>
          <c:y val="3.0039401103230893E-2"/>
          <c:w val="6.5459521443314725E-2"/>
          <c:h val="0.1165901467754597"/>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0</xdr:colOff>
      <xdr:row>13</xdr:row>
      <xdr:rowOff>15875</xdr:rowOff>
    </xdr:from>
    <xdr:to>
      <xdr:col>28</xdr:col>
      <xdr:colOff>0</xdr:colOff>
      <xdr:row>29</xdr:row>
      <xdr:rowOff>0</xdr:rowOff>
    </xdr:to>
    <xdr:graphicFrame macro="">
      <xdr:nvGraphicFramePr>
        <xdr:cNvPr id="2" name="Chart 1">
          <a:extLst>
            <a:ext uri="{FF2B5EF4-FFF2-40B4-BE49-F238E27FC236}">
              <a16:creationId xmlns:a16="http://schemas.microsoft.com/office/drawing/2014/main" id="{CB6486A1-9EC3-47DF-924E-530D291B5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31</xdr:row>
      <xdr:rowOff>25400</xdr:rowOff>
    </xdr:from>
    <xdr:to>
      <xdr:col>27</xdr:col>
      <xdr:colOff>584200</xdr:colOff>
      <xdr:row>53</xdr:row>
      <xdr:rowOff>38100</xdr:rowOff>
    </xdr:to>
    <xdr:graphicFrame macro="">
      <xdr:nvGraphicFramePr>
        <xdr:cNvPr id="3" name="Chart 2">
          <a:extLst>
            <a:ext uri="{FF2B5EF4-FFF2-40B4-BE49-F238E27FC236}">
              <a16:creationId xmlns:a16="http://schemas.microsoft.com/office/drawing/2014/main" id="{FE18F0AA-66B1-4C03-A6BB-D09FFE238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12700</xdr:colOff>
      <xdr:row>13</xdr:row>
      <xdr:rowOff>44449</xdr:rowOff>
    </xdr:from>
    <xdr:to>
      <xdr:col>7</xdr:col>
      <xdr:colOff>111760</xdr:colOff>
      <xdr:row>25</xdr:row>
      <xdr:rowOff>177800</xdr:rowOff>
    </xdr:to>
    <mc:AlternateContent xmlns:mc="http://schemas.openxmlformats.org/markup-compatibility/2006">
      <mc:Choice xmlns:a14="http://schemas.microsoft.com/office/drawing/2010/main" Requires="a14">
        <xdr:graphicFrame macro="">
          <xdr:nvGraphicFramePr>
            <xdr:cNvPr id="4" name="day_of_the_week">
              <a:extLst>
                <a:ext uri="{FF2B5EF4-FFF2-40B4-BE49-F238E27FC236}">
                  <a16:creationId xmlns:a16="http://schemas.microsoft.com/office/drawing/2014/main" id="{6C36652D-0BB0-E82D-0DAA-8E3A420050C7}"/>
                </a:ext>
              </a:extLst>
            </xdr:cNvPr>
            <xdr:cNvGraphicFramePr/>
          </xdr:nvGraphicFramePr>
          <xdr:xfrm>
            <a:off x="0" y="0"/>
            <a:ext cx="0" cy="0"/>
          </xdr:xfrm>
          <a:graphic>
            <a:graphicData uri="http://schemas.microsoft.com/office/drawing/2010/slicer">
              <sle:slicer xmlns:sle="http://schemas.microsoft.com/office/drawing/2010/slicer" name="day_of_the_week"/>
            </a:graphicData>
          </a:graphic>
        </xdr:graphicFrame>
      </mc:Choice>
      <mc:Fallback>
        <xdr:sp macro="" textlink="">
          <xdr:nvSpPr>
            <xdr:cNvPr id="0" name=""/>
            <xdr:cNvSpPr>
              <a:spLocks noTextEdit="1"/>
            </xdr:cNvSpPr>
          </xdr:nvSpPr>
          <xdr:spPr>
            <a:xfrm>
              <a:off x="2451100" y="2520949"/>
              <a:ext cx="1927860" cy="2952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57150</xdr:colOff>
      <xdr:row>25</xdr:row>
      <xdr:rowOff>228600</xdr:rowOff>
    </xdr:from>
    <xdr:to>
      <xdr:col>7</xdr:col>
      <xdr:colOff>57150</xdr:colOff>
      <xdr:row>41</xdr:row>
      <xdr:rowOff>88900</xdr:rowOff>
    </xdr:to>
    <mc:AlternateContent xmlns:mc="http://schemas.openxmlformats.org/markup-compatibility/2006">
      <mc:Choice xmlns:a14="http://schemas.microsoft.com/office/drawing/2010/main" Requires="a14">
        <xdr:graphicFrame macro="">
          <xdr:nvGraphicFramePr>
            <xdr:cNvPr id="7" name="month">
              <a:extLst>
                <a:ext uri="{FF2B5EF4-FFF2-40B4-BE49-F238E27FC236}">
                  <a16:creationId xmlns:a16="http://schemas.microsoft.com/office/drawing/2014/main" id="{975E9739-B55A-4409-88DF-976DF141720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495550" y="5524500"/>
              <a:ext cx="1828800" cy="3136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65.578493518522" createdVersion="8" refreshedVersion="8" minRefreshableVersion="3" recordCount="531" xr:uid="{EAF44BF8-B7D3-4BF0-A8DA-6839E7533F8E}">
  <cacheSource type="worksheet">
    <worksheetSource name="Orthopedics"/>
  </cacheSource>
  <cacheFields count="14">
    <cacheField name="date" numFmtId="22">
      <sharedItems containsSemiMixedTypes="0" containsNonDate="0" containsDate="1" containsString="0" minDate="2023-01-01T13:00:13" maxDate="2023-10-30T02:12:53"/>
    </cacheField>
    <cacheField name="month" numFmtId="22">
      <sharedItems count="10">
        <s v="January"/>
        <s v="February"/>
        <s v="March"/>
        <s v="April"/>
        <s v="May"/>
        <s v="June"/>
        <s v="July"/>
        <s v="August"/>
        <s v="September"/>
        <s v="October"/>
      </sharedItems>
    </cacheField>
    <cacheField name="day_of_the_week" numFmtId="22">
      <sharedItems count="7">
        <s v="Sunday"/>
        <s v="Monday"/>
        <s v="Tuesday"/>
        <s v="Wednesday"/>
        <s v="Thursday"/>
        <s v="Saturday"/>
        <s v="Friday"/>
      </sharedItems>
    </cacheField>
    <cacheField name="time_frame" numFmtId="174">
      <sharedItems containsSemiMixedTypes="0" containsNonDate="0" containsDate="1" containsString="0" minDate="1899-12-30T00:00:00" maxDate="1899-12-30T23:00:00" count="24">
        <d v="1899-12-30T13:00:00"/>
        <d v="1899-12-30T17:00:00"/>
        <d v="1899-12-30T14:00:00"/>
        <d v="1899-12-30T21:00:00"/>
        <d v="1899-12-30T04:00:00"/>
        <d v="1899-12-30T05:00:00"/>
        <d v="1899-12-30T03:00:00"/>
        <d v="1899-12-30T16:00:00"/>
        <d v="1899-12-30T20:00:00"/>
        <d v="1899-12-30T22:00:00"/>
        <d v="1899-12-30T10:00:00"/>
        <d v="1899-12-30T11:00:00"/>
        <d v="1899-12-30T15:00:00"/>
        <d v="1899-12-30T18:00:00"/>
        <d v="1899-12-30T09:00:00"/>
        <d v="1899-12-30T01:00:00"/>
        <d v="1899-12-30T02:00:00"/>
        <d v="1899-12-30T07:00:00"/>
        <d v="1899-12-30T12:00:00"/>
        <d v="1899-12-30T19:00:00"/>
        <d v="1899-12-30T23:00:00"/>
        <d v="1899-12-30T00:00:00"/>
        <d v="1899-12-30T08:00:00"/>
        <d v="1899-12-30T06:00:00"/>
      </sharedItems>
      <fieldGroup par="13"/>
    </cacheField>
    <cacheField name="patient_id" numFmtId="0">
      <sharedItems/>
    </cacheField>
    <cacheField name="patient_gender" numFmtId="0">
      <sharedItems/>
    </cacheField>
    <cacheField name="patient_age" numFmtId="0">
      <sharedItems containsSemiMixedTypes="0" containsString="0" containsNumber="1" containsInteger="1" minValue="1" maxValue="79" count="79">
        <n v="59"/>
        <n v="22"/>
        <n v="6"/>
        <n v="18"/>
        <n v="16"/>
        <n v="41"/>
        <n v="27"/>
        <n v="11"/>
        <n v="20"/>
        <n v="9"/>
        <n v="77"/>
        <n v="55"/>
        <n v="13"/>
        <n v="63"/>
        <n v="73"/>
        <n v="64"/>
        <n v="32"/>
        <n v="24"/>
        <n v="46"/>
        <n v="66"/>
        <n v="30"/>
        <n v="61"/>
        <n v="5"/>
        <n v="26"/>
        <n v="33"/>
        <n v="45"/>
        <n v="74"/>
        <n v="62"/>
        <n v="36"/>
        <n v="4"/>
        <n v="25"/>
        <n v="15"/>
        <n v="52"/>
        <n v="49"/>
        <n v="3"/>
        <n v="78"/>
        <n v="31"/>
        <n v="79"/>
        <n v="43"/>
        <n v="29"/>
        <n v="57"/>
        <n v="50"/>
        <n v="35"/>
        <n v="65"/>
        <n v="72"/>
        <n v="44"/>
        <n v="8"/>
        <n v="54"/>
        <n v="48"/>
        <n v="71"/>
        <n v="53"/>
        <n v="40"/>
        <n v="76"/>
        <n v="58"/>
        <n v="42"/>
        <n v="47"/>
        <n v="70"/>
        <n v="1"/>
        <n v="67"/>
        <n v="38"/>
        <n v="56"/>
        <n v="10"/>
        <n v="69"/>
        <n v="7"/>
        <n v="14"/>
        <n v="39"/>
        <n v="2"/>
        <n v="60"/>
        <n v="37"/>
        <n v="34"/>
        <n v="21"/>
        <n v="51"/>
        <n v="23"/>
        <n v="19"/>
        <n v="12"/>
        <n v="28"/>
        <n v="75"/>
        <n v="17"/>
        <n v="68"/>
      </sharedItems>
      <fieldGroup base="6">
        <rangePr startNum="1" endNum="79" groupInterval="10"/>
        <groupItems count="10">
          <s v="&lt;1"/>
          <s v="1-10"/>
          <s v="11-20"/>
          <s v="21-30"/>
          <s v="31-40"/>
          <s v="41-50"/>
          <s v="51-60"/>
          <s v="61-70"/>
          <s v="71-80"/>
          <s v="&gt;81"/>
        </groupItems>
      </fieldGroup>
    </cacheField>
    <cacheField name="patient_sat_score" numFmtId="0">
      <sharedItems containsString="0" containsBlank="1" containsNumber="1" containsInteger="1" minValue="1" maxValue="10"/>
    </cacheField>
    <cacheField name="patient_last_name" numFmtId="0">
      <sharedItems/>
    </cacheField>
    <cacheField name="patient_race" numFmtId="0">
      <sharedItems/>
    </cacheField>
    <cacheField name="patient_admin_flag" numFmtId="0">
      <sharedItems/>
    </cacheField>
    <cacheField name="patient_waittime" numFmtId="0">
      <sharedItems containsSemiMixedTypes="0" containsString="0" containsNumber="1" containsInteger="1" minValue="10" maxValue="60"/>
    </cacheField>
    <cacheField name="department_referral" numFmtId="0">
      <sharedItems/>
    </cacheField>
    <cacheField name="Hours (time_frame)" numFmtId="0" databaseField="0">
      <fieldGroup base="3">
        <rangePr groupBy="hours" startDate="1899-12-30T00:00:00" endDate="1899-12-30T23:00: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15741488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1">
  <r>
    <d v="2023-01-01T13:00:13"/>
    <x v="0"/>
    <x v="0"/>
    <x v="0"/>
    <s v="730-54-8361"/>
    <s v="M"/>
    <x v="0"/>
    <m/>
    <s v="O'Lennachain"/>
    <s v="White"/>
    <b v="1"/>
    <n v="45"/>
    <s v="Orthopedics"/>
  </r>
  <r>
    <d v="2023-01-01T17:25:53"/>
    <x v="0"/>
    <x v="0"/>
    <x v="1"/>
    <s v="608-47-0337"/>
    <s v="F"/>
    <x v="1"/>
    <m/>
    <s v="Boyle"/>
    <s v="White"/>
    <b v="1"/>
    <n v="45"/>
    <s v="Orthopedics"/>
  </r>
  <r>
    <d v="2023-01-02T14:06:41"/>
    <x v="0"/>
    <x v="1"/>
    <x v="2"/>
    <s v="409-55-2108"/>
    <s v="M"/>
    <x v="2"/>
    <m/>
    <s v="Buller"/>
    <s v="African American"/>
    <b v="1"/>
    <n v="19"/>
    <s v="Orthopedics"/>
  </r>
  <r>
    <d v="2023-01-02T21:16:52"/>
    <x v="0"/>
    <x v="1"/>
    <x v="3"/>
    <s v="771-94-6870"/>
    <s v="M"/>
    <x v="3"/>
    <m/>
    <s v="Muccino"/>
    <s v="African American"/>
    <b v="0"/>
    <n v="55"/>
    <s v="Orthopedics"/>
  </r>
  <r>
    <d v="2023-01-03T04:38:30"/>
    <x v="0"/>
    <x v="2"/>
    <x v="4"/>
    <s v="299-16-0016"/>
    <s v="M"/>
    <x v="4"/>
    <m/>
    <s v="Boulder"/>
    <s v="Native American/Alaska Native"/>
    <b v="0"/>
    <n v="20"/>
    <s v="Orthopedics"/>
  </r>
  <r>
    <d v="2023-01-03T05:57:43"/>
    <x v="0"/>
    <x v="2"/>
    <x v="5"/>
    <s v="357-69-5446"/>
    <s v="M"/>
    <x v="5"/>
    <m/>
    <s v="Huetson"/>
    <s v="Two or More Races"/>
    <b v="1"/>
    <n v="57"/>
    <s v="Orthopedics"/>
  </r>
  <r>
    <d v="2023-01-04T03:07:51"/>
    <x v="0"/>
    <x v="3"/>
    <x v="6"/>
    <s v="323-73-5214"/>
    <s v="M"/>
    <x v="6"/>
    <m/>
    <s v="Andrelli"/>
    <s v="Native American/Alaska Native"/>
    <b v="0"/>
    <n v="53"/>
    <s v="Orthopedics"/>
  </r>
  <r>
    <d v="2023-01-04T03:29:14"/>
    <x v="0"/>
    <x v="3"/>
    <x v="6"/>
    <s v="426-07-4984"/>
    <s v="F"/>
    <x v="7"/>
    <n v="4"/>
    <s v="Deluca"/>
    <s v="White"/>
    <b v="0"/>
    <n v="42"/>
    <s v="Orthopedics"/>
  </r>
  <r>
    <d v="2023-01-04T14:54:18"/>
    <x v="0"/>
    <x v="3"/>
    <x v="2"/>
    <s v="323-99-0794"/>
    <s v="F"/>
    <x v="2"/>
    <n v="6"/>
    <s v="Ruselin"/>
    <s v="African American"/>
    <b v="1"/>
    <n v="42"/>
    <s v="Orthopedics"/>
  </r>
  <r>
    <d v="2023-01-04T16:54:33"/>
    <x v="0"/>
    <x v="3"/>
    <x v="7"/>
    <s v="705-51-2537"/>
    <s v="F"/>
    <x v="8"/>
    <m/>
    <s v="Olyet"/>
    <s v="Declined to Identify"/>
    <b v="1"/>
    <n v="43"/>
    <s v="Orthopedics"/>
  </r>
  <r>
    <d v="2023-01-05T20:36:42"/>
    <x v="0"/>
    <x v="4"/>
    <x v="8"/>
    <s v="374-08-6811"/>
    <s v="M"/>
    <x v="9"/>
    <n v="8"/>
    <s v="Broadis"/>
    <s v="Declined to Identify"/>
    <b v="0"/>
    <n v="30"/>
    <s v="Orthopedics"/>
  </r>
  <r>
    <d v="2023-01-05T22:58:13"/>
    <x v="0"/>
    <x v="4"/>
    <x v="9"/>
    <s v="634-94-1438"/>
    <s v="M"/>
    <x v="6"/>
    <m/>
    <s v="Baudichon"/>
    <s v="Two or More Races"/>
    <b v="1"/>
    <n v="49"/>
    <s v="Orthopedics"/>
  </r>
  <r>
    <d v="2023-01-07T10:32:26"/>
    <x v="0"/>
    <x v="5"/>
    <x v="10"/>
    <s v="421-15-9145"/>
    <s v="M"/>
    <x v="10"/>
    <n v="3"/>
    <s v="Brunsen"/>
    <s v="Asian"/>
    <b v="1"/>
    <n v="28"/>
    <s v="Orthopedics"/>
  </r>
  <r>
    <d v="2023-01-07T11:35:18"/>
    <x v="0"/>
    <x v="5"/>
    <x v="11"/>
    <s v="672-75-7086"/>
    <s v="M"/>
    <x v="11"/>
    <m/>
    <s v="McCaughan"/>
    <s v="Two or More Races"/>
    <b v="0"/>
    <n v="56"/>
    <s v="Orthopedics"/>
  </r>
  <r>
    <d v="2023-01-07T15:22:09"/>
    <x v="0"/>
    <x v="5"/>
    <x v="12"/>
    <s v="767-96-0026"/>
    <s v="M"/>
    <x v="12"/>
    <m/>
    <s v="Frammingham"/>
    <s v="Asian"/>
    <b v="0"/>
    <n v="49"/>
    <s v="Orthopedics"/>
  </r>
  <r>
    <d v="2023-01-07T22:32:48"/>
    <x v="0"/>
    <x v="5"/>
    <x v="9"/>
    <s v="804-80-4289"/>
    <s v="M"/>
    <x v="13"/>
    <m/>
    <s v="Lomax"/>
    <s v="Pacific Islander"/>
    <b v="0"/>
    <n v="41"/>
    <s v="Orthopedics"/>
  </r>
  <r>
    <d v="2023-01-08T14:12:58"/>
    <x v="0"/>
    <x v="0"/>
    <x v="2"/>
    <s v="488-61-3428"/>
    <s v="M"/>
    <x v="14"/>
    <m/>
    <s v="Yegorchenkov"/>
    <s v="Two or More Races"/>
    <b v="0"/>
    <n v="38"/>
    <s v="Orthopedics"/>
  </r>
  <r>
    <d v="2023-01-08T18:39:22"/>
    <x v="0"/>
    <x v="0"/>
    <x v="13"/>
    <s v="344-30-6145"/>
    <s v="M"/>
    <x v="15"/>
    <n v="10"/>
    <s v="Hardaker"/>
    <s v="Two or More Races"/>
    <b v="1"/>
    <n v="21"/>
    <s v="Orthopedics"/>
  </r>
  <r>
    <d v="2023-01-09T09:31:00"/>
    <x v="0"/>
    <x v="1"/>
    <x v="14"/>
    <s v="828-19-1085"/>
    <s v="M"/>
    <x v="16"/>
    <m/>
    <s v="Gilfoy"/>
    <s v="African American"/>
    <b v="1"/>
    <n v="26"/>
    <s v="Orthopedics"/>
  </r>
  <r>
    <d v="2023-01-09T22:32:43"/>
    <x v="0"/>
    <x v="1"/>
    <x v="9"/>
    <s v="812-01-8966"/>
    <s v="M"/>
    <x v="17"/>
    <m/>
    <s v="Bremond"/>
    <s v="African American"/>
    <b v="0"/>
    <n v="60"/>
    <s v="Orthopedics"/>
  </r>
  <r>
    <d v="2023-01-10T13:57:57"/>
    <x v="0"/>
    <x v="2"/>
    <x v="0"/>
    <s v="260-70-4444"/>
    <s v="M"/>
    <x v="18"/>
    <m/>
    <s v="Temprell"/>
    <s v="White"/>
    <b v="1"/>
    <n v="47"/>
    <s v="Orthopedics"/>
  </r>
  <r>
    <d v="2023-01-10T17:18:52"/>
    <x v="0"/>
    <x v="2"/>
    <x v="1"/>
    <s v="374-46-8007"/>
    <s v="M"/>
    <x v="7"/>
    <m/>
    <s v="McLugish"/>
    <s v="White"/>
    <b v="1"/>
    <n v="60"/>
    <s v="Orthopedics"/>
  </r>
  <r>
    <d v="2023-01-11T14:14:08"/>
    <x v="0"/>
    <x v="3"/>
    <x v="2"/>
    <s v="423-67-7757"/>
    <s v="F"/>
    <x v="19"/>
    <m/>
    <s v="Seagrave"/>
    <s v="African American"/>
    <b v="1"/>
    <n v="60"/>
    <s v="Orthopedics"/>
  </r>
  <r>
    <d v="2023-01-12T09:37:57"/>
    <x v="0"/>
    <x v="4"/>
    <x v="14"/>
    <s v="740-27-0503"/>
    <s v="F"/>
    <x v="20"/>
    <m/>
    <s v="Lodwick"/>
    <s v="Asian"/>
    <b v="1"/>
    <n v="49"/>
    <s v="Orthopedics"/>
  </r>
  <r>
    <d v="2023-01-12T21:21:16"/>
    <x v="0"/>
    <x v="4"/>
    <x v="3"/>
    <s v="172-88-9711"/>
    <s v="M"/>
    <x v="21"/>
    <m/>
    <s v="Fricke"/>
    <s v="Two or More Races"/>
    <b v="1"/>
    <n v="37"/>
    <s v="Orthopedics"/>
  </r>
  <r>
    <d v="2023-01-13T01:28:20"/>
    <x v="0"/>
    <x v="6"/>
    <x v="15"/>
    <s v="664-85-2224"/>
    <s v="F"/>
    <x v="22"/>
    <m/>
    <s v="Shovell"/>
    <s v="Declined to Identify"/>
    <b v="0"/>
    <n v="30"/>
    <s v="Orthopedics"/>
  </r>
  <r>
    <d v="2023-01-13T04:08:27"/>
    <x v="0"/>
    <x v="6"/>
    <x v="4"/>
    <s v="402-85-5587"/>
    <s v="M"/>
    <x v="23"/>
    <m/>
    <s v="Biggen"/>
    <s v="Two or More Races"/>
    <b v="1"/>
    <n v="42"/>
    <s v="Orthopedics"/>
  </r>
  <r>
    <d v="2023-01-13T11:39:14"/>
    <x v="0"/>
    <x v="6"/>
    <x v="11"/>
    <s v="302-68-9742"/>
    <s v="M"/>
    <x v="24"/>
    <m/>
    <s v="Penylton"/>
    <s v="White"/>
    <b v="1"/>
    <n v="32"/>
    <s v="Orthopedics"/>
  </r>
  <r>
    <d v="2023-01-14T01:16:46"/>
    <x v="0"/>
    <x v="5"/>
    <x v="15"/>
    <s v="330-29-6460"/>
    <s v="M"/>
    <x v="25"/>
    <n v="4"/>
    <s v="Pennrington"/>
    <s v="African American"/>
    <b v="0"/>
    <n v="41"/>
    <s v="Orthopedics"/>
  </r>
  <r>
    <d v="2023-01-14T02:42:25"/>
    <x v="0"/>
    <x v="5"/>
    <x v="16"/>
    <s v="106-06-0564"/>
    <s v="M"/>
    <x v="4"/>
    <n v="5"/>
    <s v="Mountlow"/>
    <s v="Declined to Identify"/>
    <b v="1"/>
    <n v="22"/>
    <s v="Orthopedics"/>
  </r>
  <r>
    <d v="2023-01-14T10:55:47"/>
    <x v="0"/>
    <x v="5"/>
    <x v="10"/>
    <s v="155-01-1799"/>
    <s v="M"/>
    <x v="26"/>
    <m/>
    <s v="Grew"/>
    <s v="Pacific Islander"/>
    <b v="1"/>
    <n v="15"/>
    <s v="Orthopedics"/>
  </r>
  <r>
    <d v="2023-01-14T11:35:11"/>
    <x v="0"/>
    <x v="5"/>
    <x v="11"/>
    <s v="848-51-5434"/>
    <s v="M"/>
    <x v="27"/>
    <m/>
    <s v="Skilton"/>
    <s v="Two or More Races"/>
    <b v="0"/>
    <n v="50"/>
    <s v="Orthopedics"/>
  </r>
  <r>
    <d v="2023-01-14T18:09:45"/>
    <x v="0"/>
    <x v="5"/>
    <x v="13"/>
    <s v="558-62-7213"/>
    <s v="F"/>
    <x v="5"/>
    <m/>
    <s v="McAneny"/>
    <s v="Two or More Races"/>
    <b v="1"/>
    <n v="23"/>
    <s v="Orthopedics"/>
  </r>
  <r>
    <d v="2023-01-14T21:59:22"/>
    <x v="0"/>
    <x v="5"/>
    <x v="3"/>
    <s v="804-44-8560"/>
    <s v="F"/>
    <x v="26"/>
    <m/>
    <s v="Capitano"/>
    <s v="Asian"/>
    <b v="0"/>
    <n v="59"/>
    <s v="Orthopedics"/>
  </r>
  <r>
    <d v="2023-01-15T09:16:04"/>
    <x v="0"/>
    <x v="0"/>
    <x v="14"/>
    <s v="236-71-7697"/>
    <s v="F"/>
    <x v="28"/>
    <m/>
    <s v="Battabee"/>
    <s v="Native American/Alaska Native"/>
    <b v="1"/>
    <n v="34"/>
    <s v="Orthopedics"/>
  </r>
  <r>
    <d v="2023-01-17T07:25:31"/>
    <x v="0"/>
    <x v="2"/>
    <x v="17"/>
    <s v="229-98-0118"/>
    <s v="F"/>
    <x v="27"/>
    <m/>
    <s v="Dugmore"/>
    <s v="African American"/>
    <b v="1"/>
    <n v="33"/>
    <s v="Orthopedics"/>
  </r>
  <r>
    <d v="2023-01-17T12:41:31"/>
    <x v="0"/>
    <x v="2"/>
    <x v="18"/>
    <s v="313-36-3938"/>
    <s v="F"/>
    <x v="29"/>
    <m/>
    <s v="Heigold"/>
    <s v="White"/>
    <b v="1"/>
    <n v="53"/>
    <s v="Orthopedics"/>
  </r>
  <r>
    <d v="2023-01-18T02:20:58"/>
    <x v="0"/>
    <x v="3"/>
    <x v="16"/>
    <s v="832-72-0329"/>
    <s v="F"/>
    <x v="30"/>
    <m/>
    <s v="Lethbury"/>
    <s v="Asian"/>
    <b v="0"/>
    <n v="44"/>
    <s v="Orthopedics"/>
  </r>
  <r>
    <d v="2023-01-18T11:38:52"/>
    <x v="0"/>
    <x v="3"/>
    <x v="11"/>
    <s v="757-22-3933"/>
    <s v="F"/>
    <x v="1"/>
    <m/>
    <s v="Gosden"/>
    <s v="Declined to Identify"/>
    <b v="0"/>
    <n v="25"/>
    <s v="Orthopedics"/>
  </r>
  <r>
    <d v="2023-01-18T17:55:44"/>
    <x v="0"/>
    <x v="3"/>
    <x v="1"/>
    <s v="662-78-5868"/>
    <s v="M"/>
    <x v="31"/>
    <n v="6"/>
    <s v="Inskipp"/>
    <s v="African American"/>
    <b v="1"/>
    <n v="43"/>
    <s v="Orthopedics"/>
  </r>
  <r>
    <d v="2023-01-18T19:25:40"/>
    <x v="0"/>
    <x v="3"/>
    <x v="19"/>
    <s v="490-34-8816"/>
    <s v="M"/>
    <x v="32"/>
    <m/>
    <s v="Sheddan"/>
    <s v="Asian"/>
    <b v="1"/>
    <n v="18"/>
    <s v="Orthopedics"/>
  </r>
  <r>
    <d v="2023-01-18T22:04:55"/>
    <x v="0"/>
    <x v="3"/>
    <x v="9"/>
    <s v="355-78-2842"/>
    <s v="M"/>
    <x v="19"/>
    <n v="10"/>
    <s v="Van Salzberger"/>
    <s v="Asian"/>
    <b v="1"/>
    <n v="44"/>
    <s v="Orthopedics"/>
  </r>
  <r>
    <d v="2023-01-20T13:38:04"/>
    <x v="0"/>
    <x v="6"/>
    <x v="0"/>
    <s v="566-41-9643"/>
    <s v="F"/>
    <x v="33"/>
    <n v="9"/>
    <s v="Charlson"/>
    <s v="White"/>
    <b v="1"/>
    <n v="45"/>
    <s v="Orthopedics"/>
  </r>
  <r>
    <d v="2023-01-20T22:53:28"/>
    <x v="0"/>
    <x v="6"/>
    <x v="9"/>
    <s v="540-19-1275"/>
    <s v="F"/>
    <x v="34"/>
    <m/>
    <s v="Elford"/>
    <s v="Pacific Islander"/>
    <b v="1"/>
    <n v="54"/>
    <s v="Orthopedics"/>
  </r>
  <r>
    <d v="2023-01-21T15:36:34"/>
    <x v="0"/>
    <x v="5"/>
    <x v="12"/>
    <s v="793-25-4580"/>
    <s v="M"/>
    <x v="35"/>
    <m/>
    <s v="Chellenham"/>
    <s v="Two or More Races"/>
    <b v="1"/>
    <n v="23"/>
    <s v="Orthopedics"/>
  </r>
  <r>
    <d v="2023-01-21T15:53:16"/>
    <x v="0"/>
    <x v="5"/>
    <x v="12"/>
    <s v="785-37-4017"/>
    <s v="F"/>
    <x v="36"/>
    <m/>
    <s v="McCunn"/>
    <s v="Declined to Identify"/>
    <b v="0"/>
    <n v="22"/>
    <s v="Orthopedics"/>
  </r>
  <r>
    <d v="2023-01-22T01:20:21"/>
    <x v="0"/>
    <x v="0"/>
    <x v="15"/>
    <s v="248-79-4235"/>
    <s v="M"/>
    <x v="8"/>
    <n v="10"/>
    <s v="Peake"/>
    <s v="African American"/>
    <b v="0"/>
    <n v="56"/>
    <s v="Orthopedics"/>
  </r>
  <r>
    <d v="2023-01-22T03:35:15"/>
    <x v="0"/>
    <x v="0"/>
    <x v="6"/>
    <s v="843-76-4020"/>
    <s v="F"/>
    <x v="37"/>
    <n v="7"/>
    <s v="Bussy"/>
    <s v="White"/>
    <b v="1"/>
    <n v="14"/>
    <s v="Orthopedics"/>
  </r>
  <r>
    <d v="2023-01-22T09:16:01"/>
    <x v="0"/>
    <x v="0"/>
    <x v="14"/>
    <s v="176-79-9558"/>
    <s v="F"/>
    <x v="38"/>
    <m/>
    <s v="Woolmington"/>
    <s v="Native American/Alaska Native"/>
    <b v="1"/>
    <n v="24"/>
    <s v="Orthopedics"/>
  </r>
  <r>
    <d v="2023-01-23T09:26:05"/>
    <x v="0"/>
    <x v="1"/>
    <x v="14"/>
    <s v="449-83-1904"/>
    <s v="F"/>
    <x v="39"/>
    <m/>
    <s v="Bisacre"/>
    <s v="White"/>
    <b v="0"/>
    <n v="37"/>
    <s v="Orthopedics"/>
  </r>
  <r>
    <d v="2023-01-23T15:26:44"/>
    <x v="0"/>
    <x v="1"/>
    <x v="12"/>
    <s v="167-77-4307"/>
    <s v="M"/>
    <x v="40"/>
    <m/>
    <s v="Tunniclisse"/>
    <s v="African American"/>
    <b v="1"/>
    <n v="60"/>
    <s v="Orthopedics"/>
  </r>
  <r>
    <d v="2023-01-23T20:01:41"/>
    <x v="0"/>
    <x v="1"/>
    <x v="8"/>
    <s v="809-23-9007"/>
    <s v="M"/>
    <x v="41"/>
    <m/>
    <s v="Cortes"/>
    <s v="Pacific Islander"/>
    <b v="1"/>
    <n v="29"/>
    <s v="Orthopedics"/>
  </r>
  <r>
    <d v="2023-01-24T13:49:31"/>
    <x v="0"/>
    <x v="2"/>
    <x v="0"/>
    <s v="514-75-2742"/>
    <s v="F"/>
    <x v="39"/>
    <m/>
    <s v="Royle"/>
    <s v="White"/>
    <b v="0"/>
    <n v="41"/>
    <s v="Orthopedics"/>
  </r>
  <r>
    <d v="2023-01-24T19:28:36"/>
    <x v="0"/>
    <x v="2"/>
    <x v="19"/>
    <s v="251-72-9605"/>
    <s v="F"/>
    <x v="42"/>
    <m/>
    <s v="Gentry"/>
    <s v="Two or More Races"/>
    <b v="0"/>
    <n v="54"/>
    <s v="Orthopedics"/>
  </r>
  <r>
    <d v="2023-01-25T19:12:36"/>
    <x v="0"/>
    <x v="3"/>
    <x v="19"/>
    <s v="411-44-1446"/>
    <s v="F"/>
    <x v="43"/>
    <m/>
    <s v="Stamper"/>
    <s v="Asian"/>
    <b v="1"/>
    <n v="11"/>
    <s v="Orthopedics"/>
  </r>
  <r>
    <d v="2023-01-26T23:11:22"/>
    <x v="0"/>
    <x v="4"/>
    <x v="20"/>
    <s v="287-09-1852"/>
    <s v="M"/>
    <x v="24"/>
    <m/>
    <s v="Kollatsch"/>
    <s v="Native American/Alaska Native"/>
    <b v="1"/>
    <n v="25"/>
    <s v="Orthopedics"/>
  </r>
  <r>
    <d v="2023-01-27T00:58:04"/>
    <x v="0"/>
    <x v="6"/>
    <x v="21"/>
    <s v="458-91-1637"/>
    <s v="M"/>
    <x v="20"/>
    <m/>
    <s v="Shrimpton"/>
    <s v="Two or More Races"/>
    <b v="1"/>
    <n v="15"/>
    <s v="Orthopedics"/>
  </r>
  <r>
    <d v="2023-01-27T04:21:52"/>
    <x v="0"/>
    <x v="6"/>
    <x v="4"/>
    <s v="538-56-3650"/>
    <s v="M"/>
    <x v="23"/>
    <n v="6"/>
    <s v="Dobell"/>
    <s v="White"/>
    <b v="1"/>
    <n v="57"/>
    <s v="Orthopedics"/>
  </r>
  <r>
    <d v="2023-01-28T03:02:41"/>
    <x v="0"/>
    <x v="5"/>
    <x v="6"/>
    <s v="342-20-9295"/>
    <s v="F"/>
    <x v="4"/>
    <m/>
    <s v="Revey"/>
    <s v="Asian"/>
    <b v="1"/>
    <n v="59"/>
    <s v="Orthopedics"/>
  </r>
  <r>
    <d v="2023-01-28T04:29:48"/>
    <x v="0"/>
    <x v="5"/>
    <x v="4"/>
    <s v="327-14-9748"/>
    <s v="F"/>
    <x v="44"/>
    <m/>
    <s v="Dance"/>
    <s v="White"/>
    <b v="1"/>
    <n v="31"/>
    <s v="Orthopedics"/>
  </r>
  <r>
    <d v="2023-01-29T07:54:58"/>
    <x v="0"/>
    <x v="0"/>
    <x v="17"/>
    <s v="404-61-7141"/>
    <s v="F"/>
    <x v="18"/>
    <m/>
    <s v="Schuler"/>
    <s v="Native American/Alaska Native"/>
    <b v="1"/>
    <n v="47"/>
    <s v="Orthopedics"/>
  </r>
  <r>
    <d v="2023-01-29T08:11:06"/>
    <x v="0"/>
    <x v="0"/>
    <x v="22"/>
    <s v="313-02-6855"/>
    <s v="M"/>
    <x v="26"/>
    <m/>
    <s v="Ephgrave"/>
    <s v="African American"/>
    <b v="0"/>
    <n v="58"/>
    <s v="Orthopedics"/>
  </r>
  <r>
    <d v="2023-01-29T23:36:14"/>
    <x v="0"/>
    <x v="0"/>
    <x v="20"/>
    <s v="385-77-2913"/>
    <s v="F"/>
    <x v="45"/>
    <n v="2"/>
    <s v="Syrad"/>
    <s v="Pacific Islander"/>
    <b v="0"/>
    <n v="56"/>
    <s v="Orthopedics"/>
  </r>
  <r>
    <d v="2023-01-31T05:49:02"/>
    <x v="0"/>
    <x v="2"/>
    <x v="5"/>
    <s v="676-76-2593"/>
    <s v="F"/>
    <x v="10"/>
    <m/>
    <s v="Adamo"/>
    <s v="Two or More Races"/>
    <b v="1"/>
    <n v="14"/>
    <s v="Orthopedics"/>
  </r>
  <r>
    <d v="2023-01-31T16:28:43"/>
    <x v="0"/>
    <x v="2"/>
    <x v="7"/>
    <s v="754-26-5507"/>
    <s v="F"/>
    <x v="16"/>
    <m/>
    <s v="Antonazzi"/>
    <s v="African American"/>
    <b v="0"/>
    <n v="33"/>
    <s v="Orthopedics"/>
  </r>
  <r>
    <d v="2023-02-01T03:01:52"/>
    <x v="1"/>
    <x v="3"/>
    <x v="6"/>
    <s v="481-25-8959"/>
    <s v="M"/>
    <x v="46"/>
    <m/>
    <s v="O'Kinneally"/>
    <s v="Pacific Islander"/>
    <b v="0"/>
    <n v="33"/>
    <s v="Orthopedics"/>
  </r>
  <r>
    <d v="2023-02-01T06:47:41"/>
    <x v="1"/>
    <x v="3"/>
    <x v="23"/>
    <s v="493-10-9938"/>
    <s v="F"/>
    <x v="19"/>
    <n v="1"/>
    <s v="Haworth"/>
    <s v="African American"/>
    <b v="0"/>
    <n v="16"/>
    <s v="Orthopedics"/>
  </r>
  <r>
    <d v="2023-02-02T00:27:17"/>
    <x v="1"/>
    <x v="4"/>
    <x v="21"/>
    <s v="208-42-8204"/>
    <s v="F"/>
    <x v="32"/>
    <m/>
    <s v="Andrichuk"/>
    <s v="Asian"/>
    <b v="1"/>
    <n v="58"/>
    <s v="Orthopedics"/>
  </r>
  <r>
    <d v="2023-02-03T06:56:38"/>
    <x v="1"/>
    <x v="6"/>
    <x v="23"/>
    <s v="612-96-3788"/>
    <s v="M"/>
    <x v="18"/>
    <n v="5"/>
    <s v="Mann"/>
    <s v="White"/>
    <b v="0"/>
    <n v="32"/>
    <s v="Orthopedics"/>
  </r>
  <r>
    <d v="2023-02-03T10:36:56"/>
    <x v="1"/>
    <x v="6"/>
    <x v="10"/>
    <s v="416-95-3368"/>
    <s v="F"/>
    <x v="47"/>
    <m/>
    <s v="Mushart"/>
    <s v="African American"/>
    <b v="0"/>
    <n v="19"/>
    <s v="Orthopedics"/>
  </r>
  <r>
    <d v="2023-02-04T07:00:45"/>
    <x v="1"/>
    <x v="5"/>
    <x v="17"/>
    <s v="715-73-6259"/>
    <s v="M"/>
    <x v="17"/>
    <m/>
    <s v="Mc Gorley"/>
    <s v="Two or More Races"/>
    <b v="0"/>
    <n v="30"/>
    <s v="Orthopedics"/>
  </r>
  <r>
    <d v="2023-02-05T01:40:16"/>
    <x v="1"/>
    <x v="0"/>
    <x v="15"/>
    <s v="822-88-4417"/>
    <s v="M"/>
    <x v="24"/>
    <m/>
    <s v="Bertenshaw"/>
    <s v="Two or More Races"/>
    <b v="1"/>
    <n v="35"/>
    <s v="Orthopedics"/>
  </r>
  <r>
    <d v="2023-02-05T12:06:47"/>
    <x v="1"/>
    <x v="0"/>
    <x v="18"/>
    <s v="120-15-2623"/>
    <s v="M"/>
    <x v="48"/>
    <m/>
    <s v="Subhan"/>
    <s v="Asian"/>
    <b v="0"/>
    <n v="42"/>
    <s v="Orthopedics"/>
  </r>
  <r>
    <d v="2023-02-05T16:46:14"/>
    <x v="1"/>
    <x v="0"/>
    <x v="7"/>
    <s v="554-45-2268"/>
    <s v="M"/>
    <x v="49"/>
    <m/>
    <s v="Manoelli"/>
    <s v="White"/>
    <b v="1"/>
    <n v="47"/>
    <s v="Orthopedics"/>
  </r>
  <r>
    <d v="2023-02-05T18:51:34"/>
    <x v="1"/>
    <x v="0"/>
    <x v="13"/>
    <s v="231-60-4242"/>
    <s v="M"/>
    <x v="50"/>
    <m/>
    <s v="Sapshed"/>
    <s v="African American"/>
    <b v="1"/>
    <n v="37"/>
    <s v="Orthopedics"/>
  </r>
  <r>
    <d v="2023-02-06T17:59:02"/>
    <x v="1"/>
    <x v="1"/>
    <x v="1"/>
    <s v="373-70-7925"/>
    <s v="M"/>
    <x v="4"/>
    <m/>
    <s v="Dives"/>
    <s v="White"/>
    <b v="1"/>
    <n v="37"/>
    <s v="Orthopedics"/>
  </r>
  <r>
    <d v="2023-02-07T12:12:24"/>
    <x v="1"/>
    <x v="2"/>
    <x v="18"/>
    <s v="804-04-1122"/>
    <s v="M"/>
    <x v="37"/>
    <m/>
    <s v="Humpatch"/>
    <s v="White"/>
    <b v="1"/>
    <n v="12"/>
    <s v="Orthopedics"/>
  </r>
  <r>
    <d v="2023-02-08T12:05:53"/>
    <x v="1"/>
    <x v="3"/>
    <x v="18"/>
    <s v="693-10-4073"/>
    <s v="F"/>
    <x v="24"/>
    <n v="4"/>
    <s v="McRobb"/>
    <s v="Two or More Races"/>
    <b v="1"/>
    <n v="48"/>
    <s v="Orthopedics"/>
  </r>
  <r>
    <d v="2023-02-08T18:29:14"/>
    <x v="1"/>
    <x v="3"/>
    <x v="13"/>
    <s v="256-81-6386"/>
    <s v="M"/>
    <x v="45"/>
    <m/>
    <s v="Treslove"/>
    <s v="White"/>
    <b v="1"/>
    <n v="19"/>
    <s v="Orthopedics"/>
  </r>
  <r>
    <d v="2023-02-08T18:52:14"/>
    <x v="1"/>
    <x v="3"/>
    <x v="13"/>
    <s v="785-59-9671"/>
    <s v="M"/>
    <x v="42"/>
    <n v="9"/>
    <s v="Mapston"/>
    <s v="Two or More Races"/>
    <b v="1"/>
    <n v="42"/>
    <s v="Orthopedics"/>
  </r>
  <r>
    <d v="2023-02-08T22:08:00"/>
    <x v="1"/>
    <x v="3"/>
    <x v="9"/>
    <s v="149-68-0241"/>
    <s v="F"/>
    <x v="51"/>
    <m/>
    <s v="Hemerijk"/>
    <s v="White"/>
    <b v="1"/>
    <n v="19"/>
    <s v="Orthopedics"/>
  </r>
  <r>
    <d v="2023-02-08T22:19:51"/>
    <x v="1"/>
    <x v="3"/>
    <x v="9"/>
    <s v="400-51-3029"/>
    <s v="F"/>
    <x v="5"/>
    <n v="4"/>
    <s v="Abdy"/>
    <s v="Two or More Races"/>
    <b v="0"/>
    <n v="49"/>
    <s v="Orthopedics"/>
  </r>
  <r>
    <d v="2023-02-09T12:24:13"/>
    <x v="1"/>
    <x v="4"/>
    <x v="18"/>
    <s v="427-87-8857"/>
    <s v="M"/>
    <x v="51"/>
    <m/>
    <s v="Pessler"/>
    <s v="Asian"/>
    <b v="1"/>
    <n v="33"/>
    <s v="Orthopedics"/>
  </r>
  <r>
    <d v="2023-02-10T05:02:08"/>
    <x v="1"/>
    <x v="6"/>
    <x v="5"/>
    <s v="455-54-8491"/>
    <s v="F"/>
    <x v="49"/>
    <m/>
    <s v="Yeskin"/>
    <s v="Asian"/>
    <b v="1"/>
    <n v="29"/>
    <s v="Orthopedics"/>
  </r>
  <r>
    <d v="2023-02-10T09:30:59"/>
    <x v="1"/>
    <x v="6"/>
    <x v="14"/>
    <s v="840-85-3205"/>
    <s v="M"/>
    <x v="20"/>
    <m/>
    <s v="Siemandl"/>
    <s v="Declined to Identify"/>
    <b v="1"/>
    <n v="49"/>
    <s v="Orthopedics"/>
  </r>
  <r>
    <d v="2023-02-10T10:19:15"/>
    <x v="1"/>
    <x v="6"/>
    <x v="10"/>
    <s v="389-53-3260"/>
    <s v="M"/>
    <x v="52"/>
    <m/>
    <s v="Dudliston"/>
    <s v="Two or More Races"/>
    <b v="0"/>
    <n v="34"/>
    <s v="Orthopedics"/>
  </r>
  <r>
    <d v="2023-02-10T11:23:14"/>
    <x v="1"/>
    <x v="6"/>
    <x v="11"/>
    <s v="263-80-6685"/>
    <s v="F"/>
    <x v="53"/>
    <m/>
    <s v="Bartkowiak"/>
    <s v="White"/>
    <b v="1"/>
    <n v="19"/>
    <s v="Orthopedics"/>
  </r>
  <r>
    <d v="2023-02-10T23:31:30"/>
    <x v="1"/>
    <x v="6"/>
    <x v="20"/>
    <s v="554-09-0300"/>
    <s v="F"/>
    <x v="54"/>
    <m/>
    <s v="Brierley"/>
    <s v="African American"/>
    <b v="0"/>
    <n v="56"/>
    <s v="Orthopedics"/>
  </r>
  <r>
    <d v="2023-02-11T01:22:40"/>
    <x v="1"/>
    <x v="5"/>
    <x v="15"/>
    <s v="562-95-1851"/>
    <s v="M"/>
    <x v="26"/>
    <m/>
    <s v="Daber"/>
    <s v="White"/>
    <b v="0"/>
    <n v="53"/>
    <s v="Orthopedics"/>
  </r>
  <r>
    <d v="2023-02-11T01:32:15"/>
    <x v="1"/>
    <x v="5"/>
    <x v="15"/>
    <s v="388-34-2380"/>
    <s v="F"/>
    <x v="18"/>
    <m/>
    <s v="Normanton"/>
    <s v="African American"/>
    <b v="1"/>
    <n v="12"/>
    <s v="Orthopedics"/>
  </r>
  <r>
    <d v="2023-02-11T14:20:29"/>
    <x v="1"/>
    <x v="5"/>
    <x v="2"/>
    <s v="895-70-7727"/>
    <s v="M"/>
    <x v="44"/>
    <n v="9"/>
    <s v="Yelden"/>
    <s v="Pacific Islander"/>
    <b v="1"/>
    <n v="47"/>
    <s v="Orthopedics"/>
  </r>
  <r>
    <d v="2023-02-12T20:04:11"/>
    <x v="1"/>
    <x v="0"/>
    <x v="8"/>
    <s v="232-89-7136"/>
    <s v="M"/>
    <x v="43"/>
    <m/>
    <s v="Silverthorne"/>
    <s v="White"/>
    <b v="0"/>
    <n v="14"/>
    <s v="Orthopedics"/>
  </r>
  <r>
    <d v="2023-02-14T08:22:02"/>
    <x v="1"/>
    <x v="2"/>
    <x v="22"/>
    <s v="539-97-0120"/>
    <s v="F"/>
    <x v="30"/>
    <m/>
    <s v="Ducker"/>
    <s v="Asian"/>
    <b v="0"/>
    <n v="52"/>
    <s v="Orthopedics"/>
  </r>
  <r>
    <d v="2023-02-14T23:47:10"/>
    <x v="1"/>
    <x v="2"/>
    <x v="20"/>
    <s v="559-31-6017"/>
    <s v="F"/>
    <x v="30"/>
    <m/>
    <s v="Heggman"/>
    <s v="White"/>
    <b v="1"/>
    <n v="20"/>
    <s v="Orthopedics"/>
  </r>
  <r>
    <d v="2023-02-15T09:33:05"/>
    <x v="1"/>
    <x v="3"/>
    <x v="14"/>
    <s v="374-27-4733"/>
    <s v="F"/>
    <x v="55"/>
    <n v="5"/>
    <s v="Gaudon"/>
    <s v="Asian"/>
    <b v="0"/>
    <n v="24"/>
    <s v="Orthopedics"/>
  </r>
  <r>
    <d v="2023-02-16T08:05:15"/>
    <x v="1"/>
    <x v="4"/>
    <x v="22"/>
    <s v="320-85-0898"/>
    <s v="M"/>
    <x v="35"/>
    <n v="1"/>
    <s v="Paull"/>
    <s v="Native American/Alaska Native"/>
    <b v="1"/>
    <n v="28"/>
    <s v="Orthopedics"/>
  </r>
  <r>
    <d v="2023-02-17T21:50:50"/>
    <x v="1"/>
    <x v="6"/>
    <x v="3"/>
    <s v="721-25-3053"/>
    <s v="M"/>
    <x v="36"/>
    <m/>
    <s v="Saffill"/>
    <s v="White"/>
    <b v="1"/>
    <n v="49"/>
    <s v="Orthopedics"/>
  </r>
  <r>
    <d v="2023-02-19T03:55:17"/>
    <x v="1"/>
    <x v="0"/>
    <x v="6"/>
    <s v="718-51-6818"/>
    <s v="F"/>
    <x v="47"/>
    <m/>
    <s v="Cadalleder"/>
    <s v="Native American/Alaska Native"/>
    <b v="1"/>
    <n v="15"/>
    <s v="Orthopedics"/>
  </r>
  <r>
    <d v="2023-02-19T10:03:06"/>
    <x v="1"/>
    <x v="0"/>
    <x v="10"/>
    <s v="620-19-3129"/>
    <s v="M"/>
    <x v="56"/>
    <m/>
    <s v="Plumb"/>
    <s v="Asian"/>
    <b v="1"/>
    <n v="55"/>
    <s v="Orthopedics"/>
  </r>
  <r>
    <d v="2023-02-20T02:31:43"/>
    <x v="1"/>
    <x v="1"/>
    <x v="16"/>
    <s v="422-02-1134"/>
    <s v="M"/>
    <x v="8"/>
    <m/>
    <s v="Boole"/>
    <s v="Declined to Identify"/>
    <b v="0"/>
    <n v="52"/>
    <s v="Orthopedics"/>
  </r>
  <r>
    <d v="2023-02-21T18:26:46"/>
    <x v="1"/>
    <x v="2"/>
    <x v="13"/>
    <s v="833-39-1167"/>
    <s v="M"/>
    <x v="9"/>
    <m/>
    <s v="Woof"/>
    <s v="African American"/>
    <b v="1"/>
    <n v="59"/>
    <s v="Orthopedics"/>
  </r>
  <r>
    <d v="2023-02-22T16:28:32"/>
    <x v="1"/>
    <x v="3"/>
    <x v="7"/>
    <s v="461-29-9107"/>
    <s v="M"/>
    <x v="14"/>
    <n v="8"/>
    <s v="Torbard"/>
    <s v="African American"/>
    <b v="0"/>
    <n v="32"/>
    <s v="Orthopedics"/>
  </r>
  <r>
    <d v="2023-02-23T20:16:37"/>
    <x v="1"/>
    <x v="4"/>
    <x v="8"/>
    <s v="540-07-7543"/>
    <s v="F"/>
    <x v="47"/>
    <n v="1"/>
    <s v="Izakson"/>
    <s v="White"/>
    <b v="1"/>
    <n v="60"/>
    <s v="Orthopedics"/>
  </r>
  <r>
    <d v="2023-02-23T23:38:03"/>
    <x v="1"/>
    <x v="4"/>
    <x v="20"/>
    <s v="654-49-3579"/>
    <s v="M"/>
    <x v="31"/>
    <m/>
    <s v="Alessandrucci"/>
    <s v="White"/>
    <b v="1"/>
    <n v="38"/>
    <s v="Orthopedics"/>
  </r>
  <r>
    <d v="2023-02-24T15:35:55"/>
    <x v="1"/>
    <x v="6"/>
    <x v="12"/>
    <s v="852-57-5614"/>
    <s v="F"/>
    <x v="35"/>
    <m/>
    <s v="Bury"/>
    <s v="Pacific Islander"/>
    <b v="1"/>
    <n v="37"/>
    <s v="Orthopedics"/>
  </r>
  <r>
    <d v="2023-02-25T05:46:59"/>
    <x v="1"/>
    <x v="5"/>
    <x v="5"/>
    <s v="570-14-8462"/>
    <s v="M"/>
    <x v="17"/>
    <m/>
    <s v="Meeland"/>
    <s v="White"/>
    <b v="1"/>
    <n v="20"/>
    <s v="Orthopedics"/>
  </r>
  <r>
    <d v="2023-02-25T15:02:00"/>
    <x v="1"/>
    <x v="5"/>
    <x v="12"/>
    <s v="777-67-6604"/>
    <s v="F"/>
    <x v="43"/>
    <m/>
    <s v="Harsant"/>
    <s v="African American"/>
    <b v="0"/>
    <n v="29"/>
    <s v="Orthopedics"/>
  </r>
  <r>
    <d v="2023-02-26T15:57:15"/>
    <x v="1"/>
    <x v="0"/>
    <x v="12"/>
    <s v="727-44-0682"/>
    <s v="F"/>
    <x v="57"/>
    <m/>
    <s v="Gealy"/>
    <s v="African American"/>
    <b v="1"/>
    <n v="27"/>
    <s v="Orthopedics"/>
  </r>
  <r>
    <d v="2023-02-26T18:50:46"/>
    <x v="1"/>
    <x v="0"/>
    <x v="13"/>
    <s v="535-66-6021"/>
    <s v="M"/>
    <x v="38"/>
    <m/>
    <s v="Knotton"/>
    <s v="White"/>
    <b v="0"/>
    <n v="11"/>
    <s v="Orthopedics"/>
  </r>
  <r>
    <d v="2023-02-27T16:24:40"/>
    <x v="1"/>
    <x v="1"/>
    <x v="7"/>
    <s v="372-50-6699"/>
    <s v="M"/>
    <x v="5"/>
    <m/>
    <s v="Lutas"/>
    <s v="Two or More Races"/>
    <b v="0"/>
    <n v="48"/>
    <s v="Orthopedics"/>
  </r>
  <r>
    <d v="2023-03-01T02:31:34"/>
    <x v="2"/>
    <x v="3"/>
    <x v="16"/>
    <s v="439-72-3934"/>
    <s v="F"/>
    <x v="8"/>
    <n v="8"/>
    <s v="Morby"/>
    <s v="Pacific Islander"/>
    <b v="1"/>
    <n v="22"/>
    <s v="Orthopedics"/>
  </r>
  <r>
    <d v="2023-03-01T19:44:35"/>
    <x v="2"/>
    <x v="3"/>
    <x v="19"/>
    <s v="541-22-8120"/>
    <s v="F"/>
    <x v="50"/>
    <m/>
    <s v="Shreeves"/>
    <s v="Asian"/>
    <b v="0"/>
    <n v="48"/>
    <s v="Orthopedics"/>
  </r>
  <r>
    <d v="2023-03-02T09:50:41"/>
    <x v="2"/>
    <x v="4"/>
    <x v="14"/>
    <s v="245-93-0711"/>
    <s v="F"/>
    <x v="58"/>
    <m/>
    <s v="Oldknowe"/>
    <s v="Two or More Races"/>
    <b v="1"/>
    <n v="47"/>
    <s v="Orthopedics"/>
  </r>
  <r>
    <d v="2023-03-02T16:03:25"/>
    <x v="2"/>
    <x v="4"/>
    <x v="7"/>
    <s v="293-18-7287"/>
    <s v="F"/>
    <x v="13"/>
    <m/>
    <s v="Hortop"/>
    <s v="African American"/>
    <b v="0"/>
    <n v="49"/>
    <s v="Orthopedics"/>
  </r>
  <r>
    <d v="2023-03-03T02:02:08"/>
    <x v="2"/>
    <x v="6"/>
    <x v="16"/>
    <s v="264-24-7455"/>
    <s v="M"/>
    <x v="6"/>
    <m/>
    <s v="Normanvill"/>
    <s v="Asian"/>
    <b v="1"/>
    <n v="50"/>
    <s v="Orthopedics"/>
  </r>
  <r>
    <d v="2023-03-03T02:03:15"/>
    <x v="2"/>
    <x v="6"/>
    <x v="16"/>
    <s v="433-77-2388"/>
    <s v="M"/>
    <x v="57"/>
    <m/>
    <s v="Robottom"/>
    <s v="Two or More Races"/>
    <b v="0"/>
    <n v="30"/>
    <s v="Orthopedics"/>
  </r>
  <r>
    <d v="2023-03-03T07:57:35"/>
    <x v="2"/>
    <x v="6"/>
    <x v="17"/>
    <s v="419-61-3209"/>
    <s v="M"/>
    <x v="11"/>
    <m/>
    <s v="Hassett"/>
    <s v="Asian"/>
    <b v="1"/>
    <n v="33"/>
    <s v="Orthopedics"/>
  </r>
  <r>
    <d v="2023-03-03T09:12:15"/>
    <x v="2"/>
    <x v="6"/>
    <x v="14"/>
    <s v="797-70-2349"/>
    <s v="F"/>
    <x v="11"/>
    <m/>
    <s v="Wallwork"/>
    <s v="White"/>
    <b v="1"/>
    <n v="25"/>
    <s v="Orthopedics"/>
  </r>
  <r>
    <d v="2023-03-03T09:51:30"/>
    <x v="2"/>
    <x v="6"/>
    <x v="14"/>
    <s v="211-48-9357"/>
    <s v="M"/>
    <x v="59"/>
    <n v="3"/>
    <s v="Brunner"/>
    <s v="African American"/>
    <b v="0"/>
    <n v="15"/>
    <s v="Orthopedics"/>
  </r>
  <r>
    <d v="2023-03-03T20:32:59"/>
    <x v="2"/>
    <x v="6"/>
    <x v="8"/>
    <s v="818-67-0399"/>
    <s v="F"/>
    <x v="25"/>
    <n v="1"/>
    <s v="Erlam"/>
    <s v="Two or More Races"/>
    <b v="1"/>
    <n v="60"/>
    <s v="Orthopedics"/>
  </r>
  <r>
    <d v="2023-03-03T22:53:36"/>
    <x v="2"/>
    <x v="6"/>
    <x v="9"/>
    <s v="309-34-4512"/>
    <s v="F"/>
    <x v="46"/>
    <m/>
    <s v="Everill"/>
    <s v="African American"/>
    <b v="0"/>
    <n v="51"/>
    <s v="Orthopedics"/>
  </r>
  <r>
    <d v="2023-03-04T11:09:17"/>
    <x v="2"/>
    <x v="5"/>
    <x v="11"/>
    <s v="402-60-5865"/>
    <s v="M"/>
    <x v="40"/>
    <m/>
    <s v="Lovart"/>
    <s v="White"/>
    <b v="1"/>
    <n v="56"/>
    <s v="Orthopedics"/>
  </r>
  <r>
    <d v="2023-03-04T16:58:30"/>
    <x v="2"/>
    <x v="5"/>
    <x v="7"/>
    <s v="670-80-2997"/>
    <s v="M"/>
    <x v="7"/>
    <n v="2"/>
    <s v="Henningham"/>
    <s v="African American"/>
    <b v="1"/>
    <n v="39"/>
    <s v="Orthopedics"/>
  </r>
  <r>
    <d v="2023-03-04T23:35:50"/>
    <x v="2"/>
    <x v="5"/>
    <x v="20"/>
    <s v="625-51-6051"/>
    <s v="F"/>
    <x v="60"/>
    <m/>
    <s v="Sampey"/>
    <s v="Two or More Races"/>
    <b v="1"/>
    <n v="34"/>
    <s v="Orthopedics"/>
  </r>
  <r>
    <d v="2023-03-05T04:54:50"/>
    <x v="2"/>
    <x v="0"/>
    <x v="4"/>
    <s v="140-14-3156"/>
    <s v="M"/>
    <x v="61"/>
    <n v="4"/>
    <s v="Sweedland"/>
    <s v="Asian"/>
    <b v="0"/>
    <n v="57"/>
    <s v="Orthopedics"/>
  </r>
  <r>
    <d v="2023-03-06T07:40:46"/>
    <x v="2"/>
    <x v="1"/>
    <x v="17"/>
    <s v="330-45-2025"/>
    <s v="M"/>
    <x v="62"/>
    <m/>
    <s v="Pitman"/>
    <s v="Native American/Alaska Native"/>
    <b v="0"/>
    <n v="31"/>
    <s v="Orthopedics"/>
  </r>
  <r>
    <d v="2023-03-07T03:34:27"/>
    <x v="2"/>
    <x v="2"/>
    <x v="6"/>
    <s v="580-12-9421"/>
    <s v="F"/>
    <x v="40"/>
    <n v="7"/>
    <s v="Aicken"/>
    <s v="White"/>
    <b v="0"/>
    <n v="22"/>
    <s v="Orthopedics"/>
  </r>
  <r>
    <d v="2023-03-08T09:06:16"/>
    <x v="2"/>
    <x v="3"/>
    <x v="14"/>
    <s v="235-32-0067"/>
    <s v="F"/>
    <x v="62"/>
    <m/>
    <s v="Durrant"/>
    <s v="Declined to Identify"/>
    <b v="1"/>
    <n v="26"/>
    <s v="Orthopedics"/>
  </r>
  <r>
    <d v="2023-03-08T11:40:27"/>
    <x v="2"/>
    <x v="3"/>
    <x v="11"/>
    <s v="736-55-3263"/>
    <s v="M"/>
    <x v="63"/>
    <m/>
    <s v="Wolverson"/>
    <s v="African American"/>
    <b v="1"/>
    <n v="37"/>
    <s v="Orthopedics"/>
  </r>
  <r>
    <d v="2023-03-08T23:04:32"/>
    <x v="2"/>
    <x v="3"/>
    <x v="20"/>
    <s v="164-31-3790"/>
    <s v="F"/>
    <x v="17"/>
    <m/>
    <s v="Baldetti"/>
    <s v="Pacific Islander"/>
    <b v="0"/>
    <n v="53"/>
    <s v="Orthopedics"/>
  </r>
  <r>
    <d v="2023-03-09T13:23:25"/>
    <x v="2"/>
    <x v="4"/>
    <x v="0"/>
    <s v="758-30-1888"/>
    <s v="F"/>
    <x v="29"/>
    <n v="10"/>
    <s v="Hallowell"/>
    <s v="Two or More Races"/>
    <b v="1"/>
    <n v="29"/>
    <s v="Orthopedics"/>
  </r>
  <r>
    <d v="2023-03-10T03:17:53"/>
    <x v="2"/>
    <x v="6"/>
    <x v="6"/>
    <s v="531-05-3251"/>
    <s v="M"/>
    <x v="21"/>
    <n v="3"/>
    <s v="Velez"/>
    <s v="Native American/Alaska Native"/>
    <b v="1"/>
    <n v="41"/>
    <s v="Orthopedics"/>
  </r>
  <r>
    <d v="2023-03-10T22:02:15"/>
    <x v="2"/>
    <x v="6"/>
    <x v="9"/>
    <s v="393-38-9502"/>
    <s v="F"/>
    <x v="4"/>
    <m/>
    <s v="Corpes"/>
    <s v="White"/>
    <b v="0"/>
    <n v="39"/>
    <s v="Orthopedics"/>
  </r>
  <r>
    <d v="2023-03-11T17:06:20"/>
    <x v="2"/>
    <x v="5"/>
    <x v="1"/>
    <s v="669-74-2146"/>
    <s v="F"/>
    <x v="53"/>
    <m/>
    <s v="Bilby"/>
    <s v="Declined to Identify"/>
    <b v="0"/>
    <n v="55"/>
    <s v="Orthopedics"/>
  </r>
  <r>
    <d v="2023-03-12T10:12:31"/>
    <x v="2"/>
    <x v="0"/>
    <x v="10"/>
    <s v="247-62-4290"/>
    <s v="M"/>
    <x v="19"/>
    <m/>
    <s v="Lomansey"/>
    <s v="Native American/Alaska Native"/>
    <b v="1"/>
    <n v="28"/>
    <s v="Orthopedics"/>
  </r>
  <r>
    <d v="2023-03-13T04:45:46"/>
    <x v="2"/>
    <x v="1"/>
    <x v="4"/>
    <s v="367-49-7229"/>
    <s v="F"/>
    <x v="20"/>
    <m/>
    <s v="Maynell"/>
    <s v="Native American/Alaska Native"/>
    <b v="0"/>
    <n v="36"/>
    <s v="Orthopedics"/>
  </r>
  <r>
    <d v="2023-03-13T16:29:14"/>
    <x v="2"/>
    <x v="1"/>
    <x v="7"/>
    <s v="284-23-4071"/>
    <s v="F"/>
    <x v="24"/>
    <m/>
    <s v="Keasley"/>
    <s v="White"/>
    <b v="1"/>
    <n v="43"/>
    <s v="Orthopedics"/>
  </r>
  <r>
    <d v="2023-03-14T02:46:50"/>
    <x v="2"/>
    <x v="2"/>
    <x v="16"/>
    <s v="685-40-5409"/>
    <s v="M"/>
    <x v="24"/>
    <m/>
    <s v="Cancott"/>
    <s v="Declined to Identify"/>
    <b v="1"/>
    <n v="46"/>
    <s v="Orthopedics"/>
  </r>
  <r>
    <d v="2023-03-14T04:31:22"/>
    <x v="2"/>
    <x v="2"/>
    <x v="4"/>
    <s v="223-84-4462"/>
    <s v="M"/>
    <x v="42"/>
    <m/>
    <s v="Cosely"/>
    <s v="Asian"/>
    <b v="0"/>
    <n v="51"/>
    <s v="Orthopedics"/>
  </r>
  <r>
    <d v="2023-03-14T05:55:00"/>
    <x v="2"/>
    <x v="2"/>
    <x v="5"/>
    <s v="508-22-7761"/>
    <s v="M"/>
    <x v="64"/>
    <n v="3"/>
    <s v="Brabbins"/>
    <s v="Declined to Identify"/>
    <b v="1"/>
    <n v="50"/>
    <s v="Orthopedics"/>
  </r>
  <r>
    <d v="2023-03-16T13:53:17"/>
    <x v="2"/>
    <x v="4"/>
    <x v="0"/>
    <s v="399-11-0047"/>
    <s v="M"/>
    <x v="65"/>
    <m/>
    <s v="Gilvary"/>
    <s v="Pacific Islander"/>
    <b v="1"/>
    <n v="47"/>
    <s v="Orthopedics"/>
  </r>
  <r>
    <d v="2023-03-17T14:54:02"/>
    <x v="2"/>
    <x v="6"/>
    <x v="2"/>
    <s v="834-30-4050"/>
    <s v="M"/>
    <x v="23"/>
    <m/>
    <s v="Theis"/>
    <s v="Declined to Identify"/>
    <b v="1"/>
    <n v="48"/>
    <s v="Orthopedics"/>
  </r>
  <r>
    <d v="2023-03-17T16:05:33"/>
    <x v="2"/>
    <x v="6"/>
    <x v="7"/>
    <s v="364-07-8056"/>
    <s v="M"/>
    <x v="62"/>
    <m/>
    <s v="Sidsaff"/>
    <s v="White"/>
    <b v="0"/>
    <n v="43"/>
    <s v="Orthopedics"/>
  </r>
  <r>
    <d v="2023-03-17T23:56:57"/>
    <x v="2"/>
    <x v="6"/>
    <x v="20"/>
    <s v="106-89-2099"/>
    <s v="M"/>
    <x v="66"/>
    <m/>
    <s v="Metcalf"/>
    <s v="Declined to Identify"/>
    <b v="1"/>
    <n v="31"/>
    <s v="Orthopedics"/>
  </r>
  <r>
    <d v="2023-03-19T06:38:26"/>
    <x v="2"/>
    <x v="0"/>
    <x v="23"/>
    <s v="885-02-5489"/>
    <s v="M"/>
    <x v="26"/>
    <m/>
    <s v="Melsome"/>
    <s v="African American"/>
    <b v="1"/>
    <n v="28"/>
    <s v="Orthopedics"/>
  </r>
  <r>
    <d v="2023-03-19T10:15:16"/>
    <x v="2"/>
    <x v="0"/>
    <x v="10"/>
    <s v="201-56-8126"/>
    <s v="M"/>
    <x v="67"/>
    <m/>
    <s v="Daftor"/>
    <s v="African American"/>
    <b v="1"/>
    <n v="39"/>
    <s v="Orthopedics"/>
  </r>
  <r>
    <d v="2023-03-20T09:45:43"/>
    <x v="2"/>
    <x v="1"/>
    <x v="14"/>
    <s v="110-15-3555"/>
    <s v="F"/>
    <x v="56"/>
    <m/>
    <s v="Veryan"/>
    <s v="African American"/>
    <b v="0"/>
    <n v="33"/>
    <s v="Orthopedics"/>
  </r>
  <r>
    <d v="2023-03-20T13:16:25"/>
    <x v="2"/>
    <x v="1"/>
    <x v="0"/>
    <s v="613-64-3858"/>
    <s v="M"/>
    <x v="47"/>
    <n v="8"/>
    <s v="Well"/>
    <s v="White"/>
    <b v="1"/>
    <n v="21"/>
    <s v="Orthopedics"/>
  </r>
  <r>
    <d v="2023-03-20T14:08:10"/>
    <x v="2"/>
    <x v="1"/>
    <x v="2"/>
    <s v="602-80-4744"/>
    <s v="F"/>
    <x v="11"/>
    <n v="6"/>
    <s v="Huntall"/>
    <s v="Two or More Races"/>
    <b v="1"/>
    <n v="11"/>
    <s v="Orthopedics"/>
  </r>
  <r>
    <d v="2023-03-20T18:30:19"/>
    <x v="2"/>
    <x v="1"/>
    <x v="13"/>
    <s v="896-38-1209"/>
    <s v="M"/>
    <x v="61"/>
    <n v="9"/>
    <s v="Killiner"/>
    <s v="Two or More Races"/>
    <b v="0"/>
    <n v="20"/>
    <s v="Orthopedics"/>
  </r>
  <r>
    <d v="2023-03-21T09:05:08"/>
    <x v="2"/>
    <x v="2"/>
    <x v="14"/>
    <s v="582-24-8875"/>
    <s v="M"/>
    <x v="26"/>
    <n v="1"/>
    <s v="Gullberg"/>
    <s v="African American"/>
    <b v="0"/>
    <n v="21"/>
    <s v="Orthopedics"/>
  </r>
  <r>
    <d v="2023-03-22T08:34:27"/>
    <x v="2"/>
    <x v="3"/>
    <x v="22"/>
    <s v="811-97-1091"/>
    <s v="F"/>
    <x v="21"/>
    <m/>
    <s v="Ryal"/>
    <s v="White"/>
    <b v="1"/>
    <n v="53"/>
    <s v="Orthopedics"/>
  </r>
  <r>
    <d v="2023-03-22T23:43:57"/>
    <x v="2"/>
    <x v="3"/>
    <x v="20"/>
    <s v="231-43-5762"/>
    <s v="M"/>
    <x v="26"/>
    <n v="1"/>
    <s v="Northam"/>
    <s v="White"/>
    <b v="1"/>
    <n v="45"/>
    <s v="Orthopedics"/>
  </r>
  <r>
    <d v="2023-03-23T07:45:25"/>
    <x v="2"/>
    <x v="4"/>
    <x v="17"/>
    <s v="888-31-9974"/>
    <s v="NC"/>
    <x v="58"/>
    <m/>
    <s v="Hatherley"/>
    <s v="White"/>
    <b v="0"/>
    <n v="18"/>
    <s v="Orthopedics"/>
  </r>
  <r>
    <d v="2023-03-25T09:00:11"/>
    <x v="2"/>
    <x v="5"/>
    <x v="14"/>
    <s v="697-97-4762"/>
    <s v="F"/>
    <x v="18"/>
    <n v="1"/>
    <s v="Fiddiman"/>
    <s v="Two or More Races"/>
    <b v="1"/>
    <n v="19"/>
    <s v="Orthopedics"/>
  </r>
  <r>
    <d v="2023-03-25T14:00:36"/>
    <x v="2"/>
    <x v="5"/>
    <x v="2"/>
    <s v="765-95-5555"/>
    <s v="M"/>
    <x v="31"/>
    <m/>
    <s v="Gasken"/>
    <s v="White"/>
    <b v="0"/>
    <n v="59"/>
    <s v="Orthopedics"/>
  </r>
  <r>
    <d v="2023-03-26T12:14:29"/>
    <x v="2"/>
    <x v="0"/>
    <x v="18"/>
    <s v="100-66-0896"/>
    <s v="M"/>
    <x v="66"/>
    <n v="6"/>
    <s v="Prickett"/>
    <s v="African American"/>
    <b v="1"/>
    <n v="23"/>
    <s v="Orthopedics"/>
  </r>
  <r>
    <d v="2023-03-27T06:32:50"/>
    <x v="2"/>
    <x v="1"/>
    <x v="23"/>
    <s v="679-23-8667"/>
    <s v="M"/>
    <x v="58"/>
    <m/>
    <s v="Southernwood"/>
    <s v="Two or More Races"/>
    <b v="1"/>
    <n v="58"/>
    <s v="Orthopedics"/>
  </r>
  <r>
    <d v="2023-03-27T10:01:55"/>
    <x v="2"/>
    <x v="1"/>
    <x v="10"/>
    <s v="334-83-4102"/>
    <s v="F"/>
    <x v="4"/>
    <m/>
    <s v="Pordall"/>
    <s v="White"/>
    <b v="0"/>
    <n v="39"/>
    <s v="Orthopedics"/>
  </r>
  <r>
    <d v="2023-03-27T12:39:42"/>
    <x v="2"/>
    <x v="1"/>
    <x v="18"/>
    <s v="341-43-1062"/>
    <s v="M"/>
    <x v="7"/>
    <m/>
    <s v="Fishlock"/>
    <s v="White"/>
    <b v="1"/>
    <n v="35"/>
    <s v="Orthopedics"/>
  </r>
  <r>
    <d v="2023-03-27T15:55:51"/>
    <x v="2"/>
    <x v="1"/>
    <x v="12"/>
    <s v="634-38-7814"/>
    <s v="F"/>
    <x v="29"/>
    <m/>
    <s v="Pagan"/>
    <s v="African American"/>
    <b v="0"/>
    <n v="45"/>
    <s v="Orthopedics"/>
  </r>
  <r>
    <d v="2023-03-28T07:54:37"/>
    <x v="2"/>
    <x v="2"/>
    <x v="17"/>
    <s v="454-17-8279"/>
    <s v="M"/>
    <x v="65"/>
    <m/>
    <s v="Odgaard"/>
    <s v="African American"/>
    <b v="0"/>
    <n v="12"/>
    <s v="Orthopedics"/>
  </r>
  <r>
    <d v="2023-03-28T08:51:41"/>
    <x v="2"/>
    <x v="2"/>
    <x v="22"/>
    <s v="658-61-9044"/>
    <s v="M"/>
    <x v="49"/>
    <m/>
    <s v="Sayles"/>
    <s v="African American"/>
    <b v="0"/>
    <n v="28"/>
    <s v="Orthopedics"/>
  </r>
  <r>
    <d v="2023-03-28T09:22:52"/>
    <x v="2"/>
    <x v="2"/>
    <x v="14"/>
    <s v="483-20-0302"/>
    <s v="F"/>
    <x v="55"/>
    <m/>
    <s v="Dyzart"/>
    <s v="African American"/>
    <b v="0"/>
    <n v="30"/>
    <s v="Orthopedics"/>
  </r>
  <r>
    <d v="2023-03-28T19:07:11"/>
    <x v="2"/>
    <x v="2"/>
    <x v="19"/>
    <s v="233-13-0126"/>
    <s v="M"/>
    <x v="32"/>
    <m/>
    <s v="Murdy"/>
    <s v="African American"/>
    <b v="0"/>
    <n v="12"/>
    <s v="Orthopedics"/>
  </r>
  <r>
    <d v="2023-03-30T10:13:39"/>
    <x v="2"/>
    <x v="4"/>
    <x v="10"/>
    <s v="464-93-5592"/>
    <s v="M"/>
    <x v="24"/>
    <n v="7"/>
    <s v="Caslane"/>
    <s v="Two or More Races"/>
    <b v="1"/>
    <n v="19"/>
    <s v="Orthopedics"/>
  </r>
  <r>
    <d v="2023-03-31T00:02:04"/>
    <x v="2"/>
    <x v="6"/>
    <x v="21"/>
    <s v="188-24-3805"/>
    <s v="F"/>
    <x v="38"/>
    <m/>
    <s v="Bourdis"/>
    <s v="White"/>
    <b v="0"/>
    <n v="32"/>
    <s v="Orthopedics"/>
  </r>
  <r>
    <d v="2023-03-31T01:49:42"/>
    <x v="2"/>
    <x v="6"/>
    <x v="15"/>
    <s v="644-56-6799"/>
    <s v="M"/>
    <x v="38"/>
    <m/>
    <s v="Kingzeth"/>
    <s v="White"/>
    <b v="0"/>
    <n v="13"/>
    <s v="Orthopedics"/>
  </r>
  <r>
    <d v="2023-03-31T15:56:37"/>
    <x v="2"/>
    <x v="6"/>
    <x v="12"/>
    <s v="767-80-3235"/>
    <s v="M"/>
    <x v="50"/>
    <m/>
    <s v="Jenk"/>
    <s v="White"/>
    <b v="1"/>
    <n v="56"/>
    <s v="Orthopedics"/>
  </r>
  <r>
    <d v="2023-04-01T10:24:30"/>
    <x v="3"/>
    <x v="5"/>
    <x v="10"/>
    <s v="869-40-4882"/>
    <s v="F"/>
    <x v="60"/>
    <m/>
    <s v="Strover"/>
    <s v="White"/>
    <b v="0"/>
    <n v="43"/>
    <s v="Orthopedics"/>
  </r>
  <r>
    <d v="2023-04-01T16:44:07"/>
    <x v="3"/>
    <x v="5"/>
    <x v="7"/>
    <s v="685-14-2682"/>
    <s v="F"/>
    <x v="68"/>
    <m/>
    <s v="Mityakov"/>
    <s v="Native American/Alaska Native"/>
    <b v="1"/>
    <n v="20"/>
    <s v="Orthopedics"/>
  </r>
  <r>
    <d v="2023-04-02T01:30:23"/>
    <x v="3"/>
    <x v="0"/>
    <x v="15"/>
    <s v="697-02-7197"/>
    <s v="F"/>
    <x v="17"/>
    <m/>
    <s v="Tregien"/>
    <s v="White"/>
    <b v="1"/>
    <n v="54"/>
    <s v="Orthopedics"/>
  </r>
  <r>
    <d v="2023-04-02T06:03:29"/>
    <x v="3"/>
    <x v="0"/>
    <x v="23"/>
    <s v="891-13-0532"/>
    <s v="F"/>
    <x v="63"/>
    <m/>
    <s v="Dayes"/>
    <s v="African American"/>
    <b v="0"/>
    <n v="54"/>
    <s v="Orthopedics"/>
  </r>
  <r>
    <d v="2023-04-03T08:19:15"/>
    <x v="3"/>
    <x v="1"/>
    <x v="22"/>
    <s v="507-75-5145"/>
    <s v="F"/>
    <x v="1"/>
    <m/>
    <s v="Guite"/>
    <s v="Asian"/>
    <b v="1"/>
    <n v="52"/>
    <s v="Orthopedics"/>
  </r>
  <r>
    <d v="2023-04-03T19:53:25"/>
    <x v="3"/>
    <x v="1"/>
    <x v="19"/>
    <s v="697-61-8367"/>
    <s v="M"/>
    <x v="25"/>
    <m/>
    <s v="Meeking"/>
    <s v="Asian"/>
    <b v="0"/>
    <n v="37"/>
    <s v="Orthopedics"/>
  </r>
  <r>
    <d v="2023-04-04T06:37:58"/>
    <x v="3"/>
    <x v="2"/>
    <x v="23"/>
    <s v="541-10-2365"/>
    <s v="M"/>
    <x v="56"/>
    <n v="5"/>
    <s v="Rammell"/>
    <s v="Declined to Identify"/>
    <b v="0"/>
    <n v="41"/>
    <s v="Orthopedics"/>
  </r>
  <r>
    <d v="2023-04-04T07:23:33"/>
    <x v="3"/>
    <x v="2"/>
    <x v="17"/>
    <s v="679-29-9661"/>
    <s v="F"/>
    <x v="69"/>
    <n v="10"/>
    <s v="Geeves"/>
    <s v="African American"/>
    <b v="0"/>
    <n v="49"/>
    <s v="Orthopedics"/>
  </r>
  <r>
    <d v="2023-04-04T23:04:47"/>
    <x v="3"/>
    <x v="2"/>
    <x v="20"/>
    <s v="800-81-9945"/>
    <s v="F"/>
    <x v="1"/>
    <n v="7"/>
    <s v="Ridewood"/>
    <s v="White"/>
    <b v="0"/>
    <n v="53"/>
    <s v="Orthopedics"/>
  </r>
  <r>
    <d v="2023-04-05T03:28:55"/>
    <x v="3"/>
    <x v="3"/>
    <x v="6"/>
    <s v="195-28-0276"/>
    <s v="M"/>
    <x v="10"/>
    <n v="2"/>
    <s v="Bulle"/>
    <s v="Asian"/>
    <b v="0"/>
    <n v="19"/>
    <s v="Orthopedics"/>
  </r>
  <r>
    <d v="2023-04-05T21:47:37"/>
    <x v="3"/>
    <x v="3"/>
    <x v="3"/>
    <s v="736-20-4728"/>
    <s v="F"/>
    <x v="35"/>
    <n v="7"/>
    <s v="Danielsson"/>
    <s v="Native American/Alaska Native"/>
    <b v="0"/>
    <n v="54"/>
    <s v="Orthopedics"/>
  </r>
  <r>
    <d v="2023-04-06T09:59:26"/>
    <x v="3"/>
    <x v="4"/>
    <x v="14"/>
    <s v="427-16-0688"/>
    <s v="F"/>
    <x v="21"/>
    <m/>
    <s v="Snalum"/>
    <s v="Declined to Identify"/>
    <b v="1"/>
    <n v="29"/>
    <s v="Orthopedics"/>
  </r>
  <r>
    <d v="2023-04-06T10:22:38"/>
    <x v="3"/>
    <x v="4"/>
    <x v="10"/>
    <s v="286-31-5737"/>
    <s v="F"/>
    <x v="69"/>
    <m/>
    <s v="Louder"/>
    <s v="Declined to Identify"/>
    <b v="0"/>
    <n v="50"/>
    <s v="Orthopedics"/>
  </r>
  <r>
    <d v="2023-04-07T16:32:53"/>
    <x v="3"/>
    <x v="6"/>
    <x v="7"/>
    <s v="256-89-4612"/>
    <s v="M"/>
    <x v="53"/>
    <n v="5"/>
    <s v="Abelwhite"/>
    <s v="Declined to Identify"/>
    <b v="1"/>
    <n v="15"/>
    <s v="Orthopedics"/>
  </r>
  <r>
    <d v="2023-04-07T23:08:16"/>
    <x v="3"/>
    <x v="6"/>
    <x v="20"/>
    <s v="480-93-4605"/>
    <s v="M"/>
    <x v="17"/>
    <n v="7"/>
    <s v="Monro"/>
    <s v="Two or More Races"/>
    <b v="0"/>
    <n v="44"/>
    <s v="Orthopedics"/>
  </r>
  <r>
    <d v="2023-04-09T17:45:40"/>
    <x v="3"/>
    <x v="0"/>
    <x v="1"/>
    <s v="213-44-8981"/>
    <s v="M"/>
    <x v="67"/>
    <m/>
    <s v="Lebang"/>
    <s v="Native American/Alaska Native"/>
    <b v="0"/>
    <n v="49"/>
    <s v="Orthopedics"/>
  </r>
  <r>
    <d v="2023-04-10T18:43:00"/>
    <x v="3"/>
    <x v="1"/>
    <x v="13"/>
    <s v="689-34-0657"/>
    <s v="M"/>
    <x v="21"/>
    <m/>
    <s v="Furmonger"/>
    <s v="White"/>
    <b v="1"/>
    <n v="21"/>
    <s v="Orthopedics"/>
  </r>
  <r>
    <d v="2023-04-10T23:30:50"/>
    <x v="3"/>
    <x v="1"/>
    <x v="20"/>
    <s v="770-14-1224"/>
    <s v="M"/>
    <x v="13"/>
    <m/>
    <s v="Yacob"/>
    <s v="African American"/>
    <b v="1"/>
    <n v="29"/>
    <s v="Orthopedics"/>
  </r>
  <r>
    <d v="2023-04-12T15:04:32"/>
    <x v="3"/>
    <x v="3"/>
    <x v="12"/>
    <s v="454-42-3319"/>
    <s v="M"/>
    <x v="6"/>
    <m/>
    <s v="Kneaphsey"/>
    <s v="White"/>
    <b v="1"/>
    <n v="21"/>
    <s v="Orthopedics"/>
  </r>
  <r>
    <d v="2023-04-14T22:38:06"/>
    <x v="3"/>
    <x v="6"/>
    <x v="9"/>
    <s v="706-06-7749"/>
    <s v="F"/>
    <x v="51"/>
    <n v="6"/>
    <s v="Campelli"/>
    <s v="Asian"/>
    <b v="1"/>
    <n v="13"/>
    <s v="Orthopedics"/>
  </r>
  <r>
    <d v="2023-04-16T20:07:28"/>
    <x v="3"/>
    <x v="0"/>
    <x v="8"/>
    <s v="845-69-9025"/>
    <s v="F"/>
    <x v="33"/>
    <m/>
    <s v="Duffield"/>
    <s v="Asian"/>
    <b v="1"/>
    <n v="58"/>
    <s v="Orthopedics"/>
  </r>
  <r>
    <d v="2023-04-17T09:49:44"/>
    <x v="3"/>
    <x v="1"/>
    <x v="14"/>
    <s v="749-62-2279"/>
    <s v="F"/>
    <x v="61"/>
    <n v="2"/>
    <s v="Gerhold"/>
    <s v="African American"/>
    <b v="0"/>
    <n v="30"/>
    <s v="Orthopedics"/>
  </r>
  <r>
    <d v="2023-04-17T22:02:32"/>
    <x v="3"/>
    <x v="1"/>
    <x v="9"/>
    <s v="374-49-5410"/>
    <s v="M"/>
    <x v="33"/>
    <m/>
    <s v="Morgen"/>
    <s v="White"/>
    <b v="0"/>
    <n v="21"/>
    <s v="Orthopedics"/>
  </r>
  <r>
    <d v="2023-04-19T16:42:05"/>
    <x v="3"/>
    <x v="3"/>
    <x v="7"/>
    <s v="592-41-3656"/>
    <s v="M"/>
    <x v="59"/>
    <m/>
    <s v="Allard"/>
    <s v="Asian"/>
    <b v="0"/>
    <n v="32"/>
    <s v="Orthopedics"/>
  </r>
  <r>
    <d v="2023-04-19T23:33:19"/>
    <x v="3"/>
    <x v="3"/>
    <x v="20"/>
    <s v="680-97-7540"/>
    <s v="F"/>
    <x v="29"/>
    <n v="7"/>
    <s v="Ost"/>
    <s v="African American"/>
    <b v="1"/>
    <n v="15"/>
    <s v="Orthopedics"/>
  </r>
  <r>
    <d v="2023-04-21T00:41:50"/>
    <x v="3"/>
    <x v="6"/>
    <x v="21"/>
    <s v="724-18-3560"/>
    <s v="F"/>
    <x v="28"/>
    <m/>
    <s v="Waiting"/>
    <s v="Pacific Islander"/>
    <b v="0"/>
    <n v="22"/>
    <s v="Orthopedics"/>
  </r>
  <r>
    <d v="2023-04-21T07:11:41"/>
    <x v="3"/>
    <x v="6"/>
    <x v="17"/>
    <s v="485-49-0599"/>
    <s v="F"/>
    <x v="36"/>
    <m/>
    <s v="Nel"/>
    <s v="Two or More Races"/>
    <b v="0"/>
    <n v="40"/>
    <s v="Orthopedics"/>
  </r>
  <r>
    <d v="2023-04-21T19:45:28"/>
    <x v="3"/>
    <x v="6"/>
    <x v="19"/>
    <s v="343-23-0272"/>
    <s v="F"/>
    <x v="43"/>
    <m/>
    <s v="Mordan"/>
    <s v="Asian"/>
    <b v="1"/>
    <n v="14"/>
    <s v="Orthopedics"/>
  </r>
  <r>
    <d v="2023-04-22T17:34:47"/>
    <x v="3"/>
    <x v="5"/>
    <x v="1"/>
    <s v="240-88-0226"/>
    <s v="F"/>
    <x v="69"/>
    <n v="10"/>
    <s v="Christofides"/>
    <s v="Native American/Alaska Native"/>
    <b v="1"/>
    <n v="12"/>
    <s v="Orthopedics"/>
  </r>
  <r>
    <d v="2023-04-22T18:33:30"/>
    <x v="3"/>
    <x v="5"/>
    <x v="13"/>
    <s v="115-72-7138"/>
    <s v="F"/>
    <x v="70"/>
    <n v="10"/>
    <s v="Guinnane"/>
    <s v="White"/>
    <b v="1"/>
    <n v="18"/>
    <s v="Orthopedics"/>
  </r>
  <r>
    <d v="2023-04-22T23:21:25"/>
    <x v="3"/>
    <x v="5"/>
    <x v="20"/>
    <s v="168-64-3036"/>
    <s v="M"/>
    <x v="35"/>
    <m/>
    <s v="Casarini"/>
    <s v="White"/>
    <b v="0"/>
    <n v="49"/>
    <s v="Orthopedics"/>
  </r>
  <r>
    <d v="2023-04-23T07:09:40"/>
    <x v="3"/>
    <x v="0"/>
    <x v="17"/>
    <s v="125-12-2869"/>
    <s v="M"/>
    <x v="66"/>
    <n v="6"/>
    <s v="Dowbakin"/>
    <s v="Two or More Races"/>
    <b v="0"/>
    <n v="47"/>
    <s v="Orthopedics"/>
  </r>
  <r>
    <d v="2023-04-24T13:48:18"/>
    <x v="3"/>
    <x v="1"/>
    <x v="0"/>
    <s v="135-55-7285"/>
    <s v="M"/>
    <x v="69"/>
    <m/>
    <s v="Reckus"/>
    <s v="Asian"/>
    <b v="1"/>
    <n v="57"/>
    <s v="Orthopedics"/>
  </r>
  <r>
    <d v="2023-04-25T00:02:36"/>
    <x v="3"/>
    <x v="2"/>
    <x v="21"/>
    <s v="614-70-3664"/>
    <s v="M"/>
    <x v="5"/>
    <m/>
    <s v="Mcasparan"/>
    <s v="Asian"/>
    <b v="1"/>
    <n v="31"/>
    <s v="Orthopedics"/>
  </r>
  <r>
    <d v="2023-04-25T10:22:23"/>
    <x v="3"/>
    <x v="2"/>
    <x v="10"/>
    <s v="373-25-1214"/>
    <s v="F"/>
    <x v="34"/>
    <m/>
    <s v="Boggis"/>
    <s v="Two or More Races"/>
    <b v="1"/>
    <n v="43"/>
    <s v="Orthopedics"/>
  </r>
  <r>
    <d v="2023-04-26T02:21:42"/>
    <x v="3"/>
    <x v="3"/>
    <x v="16"/>
    <s v="480-59-4442"/>
    <s v="F"/>
    <x v="24"/>
    <m/>
    <s v="Gitting"/>
    <s v="Asian"/>
    <b v="0"/>
    <n v="35"/>
    <s v="Orthopedics"/>
  </r>
  <r>
    <d v="2023-04-26T07:46:09"/>
    <x v="3"/>
    <x v="3"/>
    <x v="17"/>
    <s v="375-83-4532"/>
    <s v="F"/>
    <x v="54"/>
    <m/>
    <s v="Baudoux"/>
    <s v="Two or More Races"/>
    <b v="1"/>
    <n v="56"/>
    <s v="Orthopedics"/>
  </r>
  <r>
    <d v="2023-04-26T09:01:05"/>
    <x v="3"/>
    <x v="3"/>
    <x v="14"/>
    <s v="665-04-6942"/>
    <s v="M"/>
    <x v="51"/>
    <m/>
    <s v="Leyden"/>
    <s v="White"/>
    <b v="0"/>
    <n v="23"/>
    <s v="Orthopedics"/>
  </r>
  <r>
    <d v="2023-04-26T09:04:47"/>
    <x v="3"/>
    <x v="3"/>
    <x v="14"/>
    <s v="452-46-7406"/>
    <s v="F"/>
    <x v="51"/>
    <m/>
    <s v="Kenworthey"/>
    <s v="Asian"/>
    <b v="1"/>
    <n v="42"/>
    <s v="Orthopedics"/>
  </r>
  <r>
    <d v="2023-04-27T02:32:01"/>
    <x v="3"/>
    <x v="4"/>
    <x v="16"/>
    <s v="102-54-1653"/>
    <s v="F"/>
    <x v="41"/>
    <n v="2"/>
    <s v="Mowson"/>
    <s v="African American"/>
    <b v="0"/>
    <n v="51"/>
    <s v="Orthopedics"/>
  </r>
  <r>
    <d v="2023-04-28T11:02:24"/>
    <x v="3"/>
    <x v="6"/>
    <x v="11"/>
    <s v="608-48-4234"/>
    <s v="M"/>
    <x v="11"/>
    <n v="4"/>
    <s v="Smaling"/>
    <s v="Asian"/>
    <b v="0"/>
    <n v="28"/>
    <s v="Orthopedics"/>
  </r>
  <r>
    <d v="2023-04-28T14:21:16"/>
    <x v="3"/>
    <x v="6"/>
    <x v="2"/>
    <s v="261-68-3689"/>
    <s v="F"/>
    <x v="2"/>
    <m/>
    <s v="Hedditeh"/>
    <s v="Two or More Races"/>
    <b v="0"/>
    <n v="45"/>
    <s v="Orthopedics"/>
  </r>
  <r>
    <d v="2023-04-30T00:26:54"/>
    <x v="3"/>
    <x v="0"/>
    <x v="21"/>
    <s v="457-93-2979"/>
    <s v="F"/>
    <x v="50"/>
    <m/>
    <s v="Snelgrove"/>
    <s v="White"/>
    <b v="1"/>
    <n v="45"/>
    <s v="Orthopedics"/>
  </r>
  <r>
    <d v="2023-04-30T12:40:20"/>
    <x v="3"/>
    <x v="0"/>
    <x v="18"/>
    <s v="386-33-3422"/>
    <s v="M"/>
    <x v="46"/>
    <n v="3"/>
    <s v="Kemball"/>
    <s v="African American"/>
    <b v="1"/>
    <n v="51"/>
    <s v="Orthopedics"/>
  </r>
  <r>
    <d v="2023-05-01T07:11:56"/>
    <x v="4"/>
    <x v="1"/>
    <x v="17"/>
    <s v="409-22-8805"/>
    <s v="F"/>
    <x v="0"/>
    <m/>
    <s v="Ayton"/>
    <s v="White"/>
    <b v="1"/>
    <n v="37"/>
    <s v="Orthopedics"/>
  </r>
  <r>
    <d v="2023-05-02T00:33:37"/>
    <x v="4"/>
    <x v="2"/>
    <x v="21"/>
    <s v="408-29-0501"/>
    <s v="M"/>
    <x v="30"/>
    <m/>
    <s v="Evenett"/>
    <s v="White"/>
    <b v="1"/>
    <n v="26"/>
    <s v="Orthopedics"/>
  </r>
  <r>
    <d v="2023-05-02T21:04:23"/>
    <x v="4"/>
    <x v="2"/>
    <x v="3"/>
    <s v="773-37-3969"/>
    <s v="F"/>
    <x v="71"/>
    <m/>
    <s v="Gagie"/>
    <s v="White"/>
    <b v="0"/>
    <n v="42"/>
    <s v="Orthopedics"/>
  </r>
  <r>
    <d v="2023-05-03T10:25:16"/>
    <x v="4"/>
    <x v="3"/>
    <x v="10"/>
    <s v="409-52-4416"/>
    <s v="F"/>
    <x v="26"/>
    <m/>
    <s v="Gately"/>
    <s v="African American"/>
    <b v="0"/>
    <n v="43"/>
    <s v="Orthopedics"/>
  </r>
  <r>
    <d v="2023-05-04T05:37:15"/>
    <x v="4"/>
    <x v="4"/>
    <x v="5"/>
    <s v="755-96-0530"/>
    <s v="M"/>
    <x v="9"/>
    <n v="1"/>
    <s v="McAndie"/>
    <s v="African American"/>
    <b v="1"/>
    <n v="60"/>
    <s v="Orthopedics"/>
  </r>
  <r>
    <d v="2023-05-04T17:27:15"/>
    <x v="4"/>
    <x v="4"/>
    <x v="1"/>
    <s v="218-08-9169"/>
    <s v="M"/>
    <x v="21"/>
    <n v="10"/>
    <s v="Conn"/>
    <s v="Asian"/>
    <b v="1"/>
    <n v="19"/>
    <s v="Orthopedics"/>
  </r>
  <r>
    <d v="2023-05-04T21:30:23"/>
    <x v="4"/>
    <x v="4"/>
    <x v="3"/>
    <s v="809-51-1881"/>
    <s v="F"/>
    <x v="68"/>
    <m/>
    <s v="Hollindale"/>
    <s v="Two or More Races"/>
    <b v="1"/>
    <n v="37"/>
    <s v="Orthopedics"/>
  </r>
  <r>
    <d v="2023-05-04T23:27:17"/>
    <x v="4"/>
    <x v="4"/>
    <x v="20"/>
    <s v="722-78-9494"/>
    <s v="M"/>
    <x v="71"/>
    <n v="6"/>
    <s v="Blackstone"/>
    <s v="Two or More Races"/>
    <b v="0"/>
    <n v="60"/>
    <s v="Orthopedics"/>
  </r>
  <r>
    <d v="2023-05-05T07:56:32"/>
    <x v="4"/>
    <x v="6"/>
    <x v="17"/>
    <s v="482-47-8887"/>
    <s v="F"/>
    <x v="72"/>
    <n v="3"/>
    <s v="Fibbit"/>
    <s v="African American"/>
    <b v="1"/>
    <n v="58"/>
    <s v="Orthopedics"/>
  </r>
  <r>
    <d v="2023-05-05T08:57:04"/>
    <x v="4"/>
    <x v="6"/>
    <x v="22"/>
    <s v="770-08-4969"/>
    <s v="M"/>
    <x v="10"/>
    <m/>
    <s v="Bidewell"/>
    <s v="White"/>
    <b v="0"/>
    <n v="26"/>
    <s v="Orthopedics"/>
  </r>
  <r>
    <d v="2023-05-05T14:23:41"/>
    <x v="4"/>
    <x v="6"/>
    <x v="2"/>
    <s v="142-27-8439"/>
    <s v="F"/>
    <x v="29"/>
    <n v="5"/>
    <s v="Braam"/>
    <s v="White"/>
    <b v="0"/>
    <n v="24"/>
    <s v="Orthopedics"/>
  </r>
  <r>
    <d v="2023-05-06T05:26:09"/>
    <x v="4"/>
    <x v="5"/>
    <x v="5"/>
    <s v="689-86-6145"/>
    <s v="F"/>
    <x v="4"/>
    <m/>
    <s v="Cordie"/>
    <s v="White"/>
    <b v="1"/>
    <n v="22"/>
    <s v="Orthopedics"/>
  </r>
  <r>
    <d v="2023-05-07T04:30:51"/>
    <x v="4"/>
    <x v="0"/>
    <x v="4"/>
    <s v="841-74-3492"/>
    <s v="F"/>
    <x v="61"/>
    <n v="5"/>
    <s v="Follis"/>
    <s v="White"/>
    <b v="1"/>
    <n v="50"/>
    <s v="Orthopedics"/>
  </r>
  <r>
    <d v="2023-05-07T05:30:32"/>
    <x v="4"/>
    <x v="0"/>
    <x v="5"/>
    <s v="824-52-5925"/>
    <s v="F"/>
    <x v="8"/>
    <m/>
    <s v="Sinnatt"/>
    <s v="Declined to Identify"/>
    <b v="1"/>
    <n v="24"/>
    <s v="Orthopedics"/>
  </r>
  <r>
    <d v="2023-05-09T01:41:23"/>
    <x v="4"/>
    <x v="2"/>
    <x v="15"/>
    <s v="865-28-1195"/>
    <s v="M"/>
    <x v="19"/>
    <m/>
    <s v="Elcy"/>
    <s v="White"/>
    <b v="1"/>
    <n v="59"/>
    <s v="Orthopedics"/>
  </r>
  <r>
    <d v="2023-05-09T01:51:05"/>
    <x v="4"/>
    <x v="2"/>
    <x v="15"/>
    <s v="255-46-2640"/>
    <s v="F"/>
    <x v="66"/>
    <n v="1"/>
    <s v="Kinglesyd"/>
    <s v="Two or More Races"/>
    <b v="0"/>
    <n v="24"/>
    <s v="Orthopedics"/>
  </r>
  <r>
    <d v="2023-05-10T02:57:53"/>
    <x v="4"/>
    <x v="3"/>
    <x v="16"/>
    <s v="535-57-8080"/>
    <s v="M"/>
    <x v="25"/>
    <m/>
    <s v="Leavry"/>
    <s v="Asian"/>
    <b v="0"/>
    <n v="22"/>
    <s v="Orthopedics"/>
  </r>
  <r>
    <d v="2023-05-10T22:06:37"/>
    <x v="4"/>
    <x v="3"/>
    <x v="9"/>
    <s v="514-12-0922"/>
    <s v="F"/>
    <x v="73"/>
    <m/>
    <s v="Traite"/>
    <s v="White"/>
    <b v="0"/>
    <n v="28"/>
    <s v="Orthopedics"/>
  </r>
  <r>
    <d v="2023-05-12T07:12:12"/>
    <x v="4"/>
    <x v="6"/>
    <x v="17"/>
    <s v="427-28-6383"/>
    <s v="M"/>
    <x v="14"/>
    <m/>
    <s v="Gallafant"/>
    <s v="Two or More Races"/>
    <b v="0"/>
    <n v="15"/>
    <s v="Orthopedics"/>
  </r>
  <r>
    <d v="2023-05-12T08:24:35"/>
    <x v="4"/>
    <x v="6"/>
    <x v="22"/>
    <s v="163-81-9187"/>
    <s v="F"/>
    <x v="46"/>
    <m/>
    <s v="Bloxham"/>
    <s v="White"/>
    <b v="1"/>
    <n v="23"/>
    <s v="Orthopedics"/>
  </r>
  <r>
    <d v="2023-05-14T09:51:41"/>
    <x v="4"/>
    <x v="0"/>
    <x v="14"/>
    <s v="600-56-6481"/>
    <s v="M"/>
    <x v="58"/>
    <m/>
    <s v="Malbon"/>
    <s v="Asian"/>
    <b v="0"/>
    <n v="33"/>
    <s v="Orthopedics"/>
  </r>
  <r>
    <d v="2023-05-16T13:43:48"/>
    <x v="4"/>
    <x v="2"/>
    <x v="0"/>
    <s v="657-40-4330"/>
    <s v="M"/>
    <x v="18"/>
    <m/>
    <s v="Proswell"/>
    <s v="African American"/>
    <b v="1"/>
    <n v="50"/>
    <s v="Orthopedics"/>
  </r>
  <r>
    <d v="2023-05-16T14:16:09"/>
    <x v="4"/>
    <x v="2"/>
    <x v="2"/>
    <s v="393-52-8450"/>
    <s v="M"/>
    <x v="26"/>
    <n v="6"/>
    <s v="Lauritsen"/>
    <s v="African American"/>
    <b v="0"/>
    <n v="24"/>
    <s v="Orthopedics"/>
  </r>
  <r>
    <d v="2023-05-18T01:08:53"/>
    <x v="4"/>
    <x v="4"/>
    <x v="15"/>
    <s v="624-82-0024"/>
    <s v="M"/>
    <x v="32"/>
    <n v="2"/>
    <s v="Gensavage"/>
    <s v="White"/>
    <b v="1"/>
    <n v="27"/>
    <s v="Orthopedics"/>
  </r>
  <r>
    <d v="2023-05-18T09:32:32"/>
    <x v="4"/>
    <x v="4"/>
    <x v="14"/>
    <s v="386-77-8317"/>
    <s v="F"/>
    <x v="11"/>
    <n v="3"/>
    <s v="Mumbray"/>
    <s v="Declined to Identify"/>
    <b v="1"/>
    <n v="57"/>
    <s v="Orthopedics"/>
  </r>
  <r>
    <d v="2023-05-18T19:39:05"/>
    <x v="4"/>
    <x v="4"/>
    <x v="19"/>
    <s v="649-47-0696"/>
    <s v="F"/>
    <x v="29"/>
    <m/>
    <s v="Habble"/>
    <s v="African American"/>
    <b v="0"/>
    <n v="38"/>
    <s v="Orthopedics"/>
  </r>
  <r>
    <d v="2023-05-20T05:49:21"/>
    <x v="4"/>
    <x v="5"/>
    <x v="5"/>
    <s v="168-97-3030"/>
    <s v="M"/>
    <x v="18"/>
    <m/>
    <s v="Tinwell"/>
    <s v="African American"/>
    <b v="1"/>
    <n v="57"/>
    <s v="Orthopedics"/>
  </r>
  <r>
    <d v="2023-05-20T14:35:14"/>
    <x v="4"/>
    <x v="5"/>
    <x v="2"/>
    <s v="105-30-2335"/>
    <s v="F"/>
    <x v="12"/>
    <m/>
    <s v="Pinnell"/>
    <s v="White"/>
    <b v="1"/>
    <n v="38"/>
    <s v="Orthopedics"/>
  </r>
  <r>
    <d v="2023-05-20T23:42:09"/>
    <x v="4"/>
    <x v="5"/>
    <x v="20"/>
    <s v="585-31-9711"/>
    <s v="F"/>
    <x v="34"/>
    <m/>
    <s v="Dagger"/>
    <s v="Native American/Alaska Native"/>
    <b v="1"/>
    <n v="37"/>
    <s v="Orthopedics"/>
  </r>
  <r>
    <d v="2023-05-21T01:57:36"/>
    <x v="4"/>
    <x v="0"/>
    <x v="15"/>
    <s v="483-70-4436"/>
    <s v="M"/>
    <x v="29"/>
    <n v="6"/>
    <s v="Roark"/>
    <s v="White"/>
    <b v="0"/>
    <n v="13"/>
    <s v="Orthopedics"/>
  </r>
  <r>
    <d v="2023-05-21T03:02:07"/>
    <x v="4"/>
    <x v="0"/>
    <x v="6"/>
    <s v="171-75-9146"/>
    <s v="F"/>
    <x v="20"/>
    <m/>
    <s v="Hearnah"/>
    <s v="White"/>
    <b v="1"/>
    <n v="32"/>
    <s v="Orthopedics"/>
  </r>
  <r>
    <d v="2023-05-21T09:49:18"/>
    <x v="4"/>
    <x v="0"/>
    <x v="14"/>
    <s v="334-81-1151"/>
    <s v="M"/>
    <x v="13"/>
    <m/>
    <s v="Elsop"/>
    <s v="Asian"/>
    <b v="1"/>
    <n v="51"/>
    <s v="Orthopedics"/>
  </r>
  <r>
    <d v="2023-05-22T01:05:13"/>
    <x v="4"/>
    <x v="1"/>
    <x v="15"/>
    <s v="176-25-2920"/>
    <s v="F"/>
    <x v="57"/>
    <m/>
    <s v="Shanklin"/>
    <s v="African American"/>
    <b v="1"/>
    <n v="39"/>
    <s v="Orthopedics"/>
  </r>
  <r>
    <d v="2023-05-22T02:25:36"/>
    <x v="4"/>
    <x v="1"/>
    <x v="16"/>
    <s v="612-69-6427"/>
    <s v="M"/>
    <x v="59"/>
    <m/>
    <s v="Stockings"/>
    <s v="White"/>
    <b v="1"/>
    <n v="38"/>
    <s v="Orthopedics"/>
  </r>
  <r>
    <d v="2023-05-22T04:52:35"/>
    <x v="4"/>
    <x v="1"/>
    <x v="4"/>
    <s v="643-42-0906"/>
    <s v="F"/>
    <x v="18"/>
    <m/>
    <s v="Barrett"/>
    <s v="Two or More Races"/>
    <b v="0"/>
    <n v="20"/>
    <s v="Orthopedics"/>
  </r>
  <r>
    <d v="2023-05-22T16:23:38"/>
    <x v="4"/>
    <x v="1"/>
    <x v="7"/>
    <s v="442-97-4394"/>
    <s v="F"/>
    <x v="67"/>
    <m/>
    <s v="Deakins"/>
    <s v="African American"/>
    <b v="0"/>
    <n v="47"/>
    <s v="Orthopedics"/>
  </r>
  <r>
    <d v="2023-05-22T18:30:16"/>
    <x v="4"/>
    <x v="1"/>
    <x v="13"/>
    <s v="226-26-8565"/>
    <s v="M"/>
    <x v="51"/>
    <m/>
    <s v="Broadhurst"/>
    <s v="Pacific Islander"/>
    <b v="0"/>
    <n v="51"/>
    <s v="Orthopedics"/>
  </r>
  <r>
    <d v="2023-05-23T17:24:46"/>
    <x v="4"/>
    <x v="2"/>
    <x v="1"/>
    <s v="340-40-0901"/>
    <s v="M"/>
    <x v="63"/>
    <m/>
    <s v="Adamik"/>
    <s v="African American"/>
    <b v="0"/>
    <n v="60"/>
    <s v="Orthopedics"/>
  </r>
  <r>
    <d v="2023-05-23T23:10:14"/>
    <x v="4"/>
    <x v="2"/>
    <x v="20"/>
    <s v="458-41-3724"/>
    <s v="F"/>
    <x v="69"/>
    <m/>
    <s v="Grim"/>
    <s v="African American"/>
    <b v="0"/>
    <n v="13"/>
    <s v="Orthopedics"/>
  </r>
  <r>
    <d v="2023-05-25T00:52:14"/>
    <x v="4"/>
    <x v="4"/>
    <x v="21"/>
    <s v="842-01-2749"/>
    <s v="F"/>
    <x v="3"/>
    <m/>
    <s v="Latore"/>
    <s v="African American"/>
    <b v="1"/>
    <n v="44"/>
    <s v="Orthopedics"/>
  </r>
  <r>
    <d v="2023-05-25T21:28:09"/>
    <x v="4"/>
    <x v="4"/>
    <x v="3"/>
    <s v="333-09-7490"/>
    <s v="F"/>
    <x v="44"/>
    <m/>
    <s v="Cawthery"/>
    <s v="African American"/>
    <b v="1"/>
    <n v="24"/>
    <s v="Orthopedics"/>
  </r>
  <r>
    <d v="2023-05-26T23:50:14"/>
    <x v="4"/>
    <x v="6"/>
    <x v="20"/>
    <s v="400-24-8755"/>
    <s v="M"/>
    <x v="36"/>
    <m/>
    <s v="Lammertz"/>
    <s v="African American"/>
    <b v="1"/>
    <n v="52"/>
    <s v="Orthopedics"/>
  </r>
  <r>
    <d v="2023-05-27T02:42:22"/>
    <x v="4"/>
    <x v="5"/>
    <x v="16"/>
    <s v="324-29-4700"/>
    <s v="M"/>
    <x v="5"/>
    <m/>
    <s v="Bubb"/>
    <s v="Declined to Identify"/>
    <b v="0"/>
    <n v="13"/>
    <s v="Orthopedics"/>
  </r>
  <r>
    <d v="2023-05-30T03:07:52"/>
    <x v="4"/>
    <x v="2"/>
    <x v="6"/>
    <s v="203-70-6564"/>
    <s v="M"/>
    <x v="4"/>
    <n v="9"/>
    <s v="McGarvey"/>
    <s v="White"/>
    <b v="0"/>
    <n v="60"/>
    <s v="Orthopedics"/>
  </r>
  <r>
    <d v="2023-05-30T03:45:20"/>
    <x v="4"/>
    <x v="2"/>
    <x v="6"/>
    <s v="169-60-7674"/>
    <s v="M"/>
    <x v="27"/>
    <m/>
    <s v="Degoey"/>
    <s v="Asian"/>
    <b v="1"/>
    <n v="29"/>
    <s v="Orthopedics"/>
  </r>
  <r>
    <d v="2023-05-30T11:54:52"/>
    <x v="4"/>
    <x v="2"/>
    <x v="11"/>
    <s v="176-25-3650"/>
    <s v="M"/>
    <x v="39"/>
    <m/>
    <s v="Dundridge"/>
    <s v="Asian"/>
    <b v="0"/>
    <n v="43"/>
    <s v="Orthopedics"/>
  </r>
  <r>
    <d v="2023-05-30T15:14:42"/>
    <x v="4"/>
    <x v="2"/>
    <x v="12"/>
    <s v="787-59-4271"/>
    <s v="M"/>
    <x v="72"/>
    <n v="3"/>
    <s v="McCole"/>
    <s v="Asian"/>
    <b v="1"/>
    <n v="35"/>
    <s v="Orthopedics"/>
  </r>
  <r>
    <d v="2023-05-31T03:11:35"/>
    <x v="4"/>
    <x v="3"/>
    <x v="6"/>
    <s v="271-80-8403"/>
    <s v="M"/>
    <x v="6"/>
    <m/>
    <s v="Riddoch"/>
    <s v="White"/>
    <b v="1"/>
    <n v="33"/>
    <s v="Orthopedics"/>
  </r>
  <r>
    <d v="2023-05-31T13:47:22"/>
    <x v="4"/>
    <x v="3"/>
    <x v="0"/>
    <s v="694-75-1010"/>
    <s v="F"/>
    <x v="29"/>
    <m/>
    <s v="Daspar"/>
    <s v="Asian"/>
    <b v="1"/>
    <n v="15"/>
    <s v="Orthopedics"/>
  </r>
  <r>
    <d v="2023-05-31T20:44:18"/>
    <x v="4"/>
    <x v="3"/>
    <x v="8"/>
    <s v="457-25-0613"/>
    <s v="M"/>
    <x v="24"/>
    <m/>
    <s v="Burnside"/>
    <s v="African American"/>
    <b v="1"/>
    <n v="24"/>
    <s v="Orthopedics"/>
  </r>
  <r>
    <d v="2023-05-31T22:24:17"/>
    <x v="4"/>
    <x v="3"/>
    <x v="9"/>
    <s v="454-88-2937"/>
    <s v="M"/>
    <x v="43"/>
    <n v="10"/>
    <s v="Hasker"/>
    <s v="Asian"/>
    <b v="1"/>
    <n v="59"/>
    <s v="Orthopedics"/>
  </r>
  <r>
    <d v="2023-06-01T00:40:22"/>
    <x v="5"/>
    <x v="4"/>
    <x v="21"/>
    <s v="835-45-5469"/>
    <s v="M"/>
    <x v="49"/>
    <n v="6"/>
    <s v="Jorat"/>
    <s v="White"/>
    <b v="0"/>
    <n v="53"/>
    <s v="Orthopedics"/>
  </r>
  <r>
    <d v="2023-06-01T03:47:11"/>
    <x v="5"/>
    <x v="4"/>
    <x v="6"/>
    <s v="763-41-5675"/>
    <s v="M"/>
    <x v="61"/>
    <m/>
    <s v="Yardy"/>
    <s v="Declined to Identify"/>
    <b v="1"/>
    <n v="15"/>
    <s v="Orthopedics"/>
  </r>
  <r>
    <d v="2023-06-01T05:58:37"/>
    <x v="5"/>
    <x v="4"/>
    <x v="5"/>
    <s v="825-28-0932"/>
    <s v="F"/>
    <x v="59"/>
    <m/>
    <s v="Escoffier"/>
    <s v="Two or More Races"/>
    <b v="0"/>
    <n v="56"/>
    <s v="Orthopedics"/>
  </r>
  <r>
    <d v="2023-06-01T18:17:48"/>
    <x v="5"/>
    <x v="4"/>
    <x v="13"/>
    <s v="139-06-1169"/>
    <s v="F"/>
    <x v="17"/>
    <m/>
    <s v="Swann"/>
    <s v="Asian"/>
    <b v="1"/>
    <n v="48"/>
    <s v="Orthopedics"/>
  </r>
  <r>
    <d v="2023-06-01T19:48:35"/>
    <x v="5"/>
    <x v="4"/>
    <x v="19"/>
    <s v="439-09-4695"/>
    <s v="M"/>
    <x v="66"/>
    <n v="4"/>
    <s v="Bastiman"/>
    <s v="Declined to Identify"/>
    <b v="1"/>
    <n v="51"/>
    <s v="Orthopedics"/>
  </r>
  <r>
    <d v="2023-06-02T23:08:42"/>
    <x v="5"/>
    <x v="6"/>
    <x v="20"/>
    <s v="672-53-8285"/>
    <s v="M"/>
    <x v="15"/>
    <m/>
    <s v="Matisse"/>
    <s v="Declined to Identify"/>
    <b v="1"/>
    <n v="44"/>
    <s v="Orthopedics"/>
  </r>
  <r>
    <d v="2023-06-03T04:20:48"/>
    <x v="5"/>
    <x v="5"/>
    <x v="4"/>
    <s v="814-11-2492"/>
    <s v="F"/>
    <x v="15"/>
    <m/>
    <s v="Fedorski"/>
    <s v="African American"/>
    <b v="0"/>
    <n v="43"/>
    <s v="Orthopedics"/>
  </r>
  <r>
    <d v="2023-06-03T04:29:15"/>
    <x v="5"/>
    <x v="5"/>
    <x v="4"/>
    <s v="521-01-3986"/>
    <s v="F"/>
    <x v="74"/>
    <n v="4"/>
    <s v="Stych"/>
    <s v="Declined to Identify"/>
    <b v="0"/>
    <n v="57"/>
    <s v="Orthopedics"/>
  </r>
  <r>
    <d v="2023-06-03T12:16:44"/>
    <x v="5"/>
    <x v="5"/>
    <x v="18"/>
    <s v="363-26-2671"/>
    <s v="F"/>
    <x v="30"/>
    <n v="4"/>
    <s v="Adran"/>
    <s v="Native American/Alaska Native"/>
    <b v="0"/>
    <n v="32"/>
    <s v="Orthopedics"/>
  </r>
  <r>
    <d v="2023-06-03T23:06:53"/>
    <x v="5"/>
    <x v="5"/>
    <x v="20"/>
    <s v="357-89-2203"/>
    <s v="F"/>
    <x v="60"/>
    <m/>
    <s v="McGonigal"/>
    <s v="White"/>
    <b v="0"/>
    <n v="40"/>
    <s v="Orthopedics"/>
  </r>
  <r>
    <d v="2023-06-04T03:17:54"/>
    <x v="5"/>
    <x v="0"/>
    <x v="6"/>
    <s v="673-50-9490"/>
    <s v="F"/>
    <x v="12"/>
    <m/>
    <s v="Clout"/>
    <s v="Asian"/>
    <b v="1"/>
    <n v="28"/>
    <s v="Orthopedics"/>
  </r>
  <r>
    <d v="2023-06-05T17:54:26"/>
    <x v="5"/>
    <x v="1"/>
    <x v="1"/>
    <s v="241-64-7642"/>
    <s v="M"/>
    <x v="51"/>
    <n v="3"/>
    <s v="Danielovitch"/>
    <s v="African American"/>
    <b v="1"/>
    <n v="40"/>
    <s v="Orthopedics"/>
  </r>
  <r>
    <d v="2023-06-06T01:28:53"/>
    <x v="5"/>
    <x v="2"/>
    <x v="15"/>
    <s v="821-53-2890"/>
    <s v="M"/>
    <x v="39"/>
    <n v="1"/>
    <s v="Lawrance"/>
    <s v="African American"/>
    <b v="0"/>
    <n v="18"/>
    <s v="Orthopedics"/>
  </r>
  <r>
    <d v="2023-06-06T20:19:11"/>
    <x v="5"/>
    <x v="2"/>
    <x v="8"/>
    <s v="509-15-9216"/>
    <s v="F"/>
    <x v="74"/>
    <m/>
    <s v="Takkos"/>
    <s v="White"/>
    <b v="1"/>
    <n v="60"/>
    <s v="Orthopedics"/>
  </r>
  <r>
    <d v="2023-06-07T03:15:44"/>
    <x v="5"/>
    <x v="3"/>
    <x v="6"/>
    <s v="759-38-2731"/>
    <s v="M"/>
    <x v="70"/>
    <m/>
    <s v="Bonellie"/>
    <s v="African American"/>
    <b v="1"/>
    <n v="26"/>
    <s v="Orthopedics"/>
  </r>
  <r>
    <d v="2023-06-08T20:56:42"/>
    <x v="5"/>
    <x v="4"/>
    <x v="8"/>
    <s v="622-23-4523"/>
    <s v="F"/>
    <x v="28"/>
    <m/>
    <s v="Rizzillo"/>
    <s v="White"/>
    <b v="0"/>
    <n v="19"/>
    <s v="Orthopedics"/>
  </r>
  <r>
    <d v="2023-06-09T15:48:52"/>
    <x v="5"/>
    <x v="6"/>
    <x v="12"/>
    <s v="419-82-3648"/>
    <s v="M"/>
    <x v="44"/>
    <n v="10"/>
    <s v="Duchasteau"/>
    <s v="Asian"/>
    <b v="0"/>
    <n v="34"/>
    <s v="Orthopedics"/>
  </r>
  <r>
    <d v="2023-06-10T02:21:55"/>
    <x v="5"/>
    <x v="5"/>
    <x v="16"/>
    <s v="402-45-4382"/>
    <s v="M"/>
    <x v="71"/>
    <m/>
    <s v="Fitzpayn"/>
    <s v="Asian"/>
    <b v="1"/>
    <n v="40"/>
    <s v="Orthopedics"/>
  </r>
  <r>
    <d v="2023-06-10T09:44:28"/>
    <x v="5"/>
    <x v="5"/>
    <x v="14"/>
    <s v="120-71-9392"/>
    <s v="M"/>
    <x v="23"/>
    <m/>
    <s v="Haet"/>
    <s v="White"/>
    <b v="1"/>
    <n v="53"/>
    <s v="Orthopedics"/>
  </r>
  <r>
    <d v="2023-06-10T20:16:04"/>
    <x v="5"/>
    <x v="5"/>
    <x v="8"/>
    <s v="228-41-0095"/>
    <s v="F"/>
    <x v="26"/>
    <n v="4"/>
    <s v="Leete"/>
    <s v="White"/>
    <b v="1"/>
    <n v="32"/>
    <s v="Orthopedics"/>
  </r>
  <r>
    <d v="2023-06-12T00:01:54"/>
    <x v="5"/>
    <x v="1"/>
    <x v="21"/>
    <s v="608-66-3521"/>
    <s v="F"/>
    <x v="39"/>
    <n v="1"/>
    <s v="Coldbathe"/>
    <s v="White"/>
    <b v="0"/>
    <n v="25"/>
    <s v="Orthopedics"/>
  </r>
  <r>
    <d v="2023-06-12T17:56:12"/>
    <x v="5"/>
    <x v="1"/>
    <x v="1"/>
    <s v="667-42-3519"/>
    <s v="M"/>
    <x v="47"/>
    <m/>
    <s v="Timbrell"/>
    <s v="Declined to Identify"/>
    <b v="1"/>
    <n v="57"/>
    <s v="Orthopedics"/>
  </r>
  <r>
    <d v="2023-06-12T21:09:39"/>
    <x v="5"/>
    <x v="1"/>
    <x v="3"/>
    <s v="283-63-7892"/>
    <s v="F"/>
    <x v="29"/>
    <m/>
    <s v="Hanigan"/>
    <s v="White"/>
    <b v="1"/>
    <n v="14"/>
    <s v="Orthopedics"/>
  </r>
  <r>
    <d v="2023-06-13T09:29:19"/>
    <x v="5"/>
    <x v="2"/>
    <x v="14"/>
    <s v="179-75-0561"/>
    <s v="F"/>
    <x v="6"/>
    <n v="7"/>
    <s v="Pedler"/>
    <s v="Native American/Alaska Native"/>
    <b v="1"/>
    <n v="52"/>
    <s v="Orthopedics"/>
  </r>
  <r>
    <d v="2023-06-13T16:50:42"/>
    <x v="5"/>
    <x v="2"/>
    <x v="7"/>
    <s v="334-62-9552"/>
    <s v="F"/>
    <x v="47"/>
    <m/>
    <s v="Butterick"/>
    <s v="White"/>
    <b v="0"/>
    <n v="25"/>
    <s v="Orthopedics"/>
  </r>
  <r>
    <d v="2023-06-13T23:24:26"/>
    <x v="5"/>
    <x v="2"/>
    <x v="20"/>
    <s v="826-13-7323"/>
    <s v="M"/>
    <x v="67"/>
    <n v="7"/>
    <s v="Knagges"/>
    <s v="African American"/>
    <b v="0"/>
    <n v="26"/>
    <s v="Orthopedics"/>
  </r>
  <r>
    <d v="2023-06-14T09:46:36"/>
    <x v="5"/>
    <x v="3"/>
    <x v="14"/>
    <s v="824-26-7312"/>
    <s v="F"/>
    <x v="4"/>
    <m/>
    <s v="Siuda"/>
    <s v="White"/>
    <b v="0"/>
    <n v="48"/>
    <s v="Orthopedics"/>
  </r>
  <r>
    <d v="2023-06-14T18:44:29"/>
    <x v="5"/>
    <x v="3"/>
    <x v="13"/>
    <s v="470-65-1385"/>
    <s v="F"/>
    <x v="60"/>
    <n v="3"/>
    <s v="Davidowsky"/>
    <s v="Asian"/>
    <b v="0"/>
    <n v="45"/>
    <s v="Orthopedics"/>
  </r>
  <r>
    <d v="2023-06-15T18:04:37"/>
    <x v="5"/>
    <x v="4"/>
    <x v="13"/>
    <s v="296-03-8130"/>
    <s v="M"/>
    <x v="74"/>
    <m/>
    <s v="Curteis"/>
    <s v="Asian"/>
    <b v="1"/>
    <n v="52"/>
    <s v="Orthopedics"/>
  </r>
  <r>
    <d v="2023-06-16T18:11:56"/>
    <x v="5"/>
    <x v="6"/>
    <x v="13"/>
    <s v="774-50-3865"/>
    <s v="M"/>
    <x v="63"/>
    <m/>
    <s v="Tilson"/>
    <s v="White"/>
    <b v="0"/>
    <n v="22"/>
    <s v="Orthopedics"/>
  </r>
  <r>
    <d v="2023-06-17T02:02:41"/>
    <x v="5"/>
    <x v="5"/>
    <x v="16"/>
    <s v="737-96-0035"/>
    <s v="M"/>
    <x v="47"/>
    <m/>
    <s v="Britland"/>
    <s v="Native American/Alaska Native"/>
    <b v="1"/>
    <n v="47"/>
    <s v="Orthopedics"/>
  </r>
  <r>
    <d v="2023-06-17T19:15:24"/>
    <x v="5"/>
    <x v="5"/>
    <x v="19"/>
    <s v="504-30-7957"/>
    <s v="F"/>
    <x v="10"/>
    <m/>
    <s v="Cutbirth"/>
    <s v="African American"/>
    <b v="1"/>
    <n v="23"/>
    <s v="Orthopedics"/>
  </r>
  <r>
    <d v="2023-06-17T22:49:24"/>
    <x v="5"/>
    <x v="5"/>
    <x v="9"/>
    <s v="615-29-6442"/>
    <s v="M"/>
    <x v="46"/>
    <m/>
    <s v="Statersfield"/>
    <s v="Two or More Races"/>
    <b v="1"/>
    <n v="25"/>
    <s v="Orthopedics"/>
  </r>
  <r>
    <d v="2023-06-18T07:13:06"/>
    <x v="5"/>
    <x v="0"/>
    <x v="17"/>
    <s v="552-28-2494"/>
    <s v="F"/>
    <x v="47"/>
    <m/>
    <s v="Hanes"/>
    <s v="Asian"/>
    <b v="0"/>
    <n v="23"/>
    <s v="Orthopedics"/>
  </r>
  <r>
    <d v="2023-06-18T16:34:38"/>
    <x v="5"/>
    <x v="0"/>
    <x v="7"/>
    <s v="447-91-3077"/>
    <s v="M"/>
    <x v="51"/>
    <n v="4"/>
    <s v="Towers"/>
    <s v="Asian"/>
    <b v="0"/>
    <n v="19"/>
    <s v="Orthopedics"/>
  </r>
  <r>
    <d v="2023-06-19T08:35:39"/>
    <x v="5"/>
    <x v="1"/>
    <x v="22"/>
    <s v="814-16-5063"/>
    <s v="F"/>
    <x v="35"/>
    <m/>
    <s v="Sheasby"/>
    <s v="Two or More Races"/>
    <b v="0"/>
    <n v="47"/>
    <s v="Orthopedics"/>
  </r>
  <r>
    <d v="2023-06-19T21:12:43"/>
    <x v="5"/>
    <x v="1"/>
    <x v="3"/>
    <s v="711-16-5014"/>
    <s v="M"/>
    <x v="33"/>
    <m/>
    <s v="Frostdyke"/>
    <s v="African American"/>
    <b v="0"/>
    <n v="18"/>
    <s v="Orthopedics"/>
  </r>
  <r>
    <d v="2023-06-22T23:34:35"/>
    <x v="5"/>
    <x v="4"/>
    <x v="20"/>
    <s v="795-71-6463"/>
    <s v="F"/>
    <x v="74"/>
    <m/>
    <s v="McCarty"/>
    <s v="Asian"/>
    <b v="0"/>
    <n v="56"/>
    <s v="Orthopedics"/>
  </r>
  <r>
    <d v="2023-06-23T15:36:20"/>
    <x v="5"/>
    <x v="6"/>
    <x v="12"/>
    <s v="557-52-3003"/>
    <s v="F"/>
    <x v="9"/>
    <n v="3"/>
    <s v="Dupree"/>
    <s v="Native American/Alaska Native"/>
    <b v="1"/>
    <n v="38"/>
    <s v="Orthopedics"/>
  </r>
  <r>
    <d v="2023-06-23T16:24:57"/>
    <x v="5"/>
    <x v="6"/>
    <x v="7"/>
    <s v="219-45-8034"/>
    <s v="F"/>
    <x v="14"/>
    <m/>
    <s v="Hakewell"/>
    <s v="African American"/>
    <b v="0"/>
    <n v="14"/>
    <s v="Orthopedics"/>
  </r>
  <r>
    <d v="2023-06-24T03:34:32"/>
    <x v="5"/>
    <x v="5"/>
    <x v="6"/>
    <s v="221-75-5469"/>
    <s v="M"/>
    <x v="61"/>
    <n v="1"/>
    <s v="Trudgeon"/>
    <s v="African American"/>
    <b v="0"/>
    <n v="60"/>
    <s v="Orthopedics"/>
  </r>
  <r>
    <d v="2023-06-24T23:36:46"/>
    <x v="5"/>
    <x v="5"/>
    <x v="20"/>
    <s v="160-36-8458"/>
    <s v="M"/>
    <x v="33"/>
    <m/>
    <s v="Fredi"/>
    <s v="Two or More Races"/>
    <b v="1"/>
    <n v="60"/>
    <s v="Orthopedics"/>
  </r>
  <r>
    <d v="2023-06-25T10:18:00"/>
    <x v="5"/>
    <x v="0"/>
    <x v="10"/>
    <s v="657-07-1234"/>
    <s v="F"/>
    <x v="75"/>
    <m/>
    <s v="Giacobilio"/>
    <s v="Pacific Islander"/>
    <b v="0"/>
    <n v="13"/>
    <s v="Orthopedics"/>
  </r>
  <r>
    <d v="2023-06-27T06:21:34"/>
    <x v="5"/>
    <x v="2"/>
    <x v="23"/>
    <s v="884-65-0896"/>
    <s v="F"/>
    <x v="48"/>
    <m/>
    <s v="Newgrosh"/>
    <s v="African American"/>
    <b v="0"/>
    <n v="54"/>
    <s v="Orthopedics"/>
  </r>
  <r>
    <d v="2023-06-27T10:27:03"/>
    <x v="5"/>
    <x v="2"/>
    <x v="10"/>
    <s v="124-40-1013"/>
    <s v="F"/>
    <x v="69"/>
    <m/>
    <s v="Rasher"/>
    <s v="White"/>
    <b v="1"/>
    <n v="43"/>
    <s v="Orthopedics"/>
  </r>
  <r>
    <d v="2023-06-27T11:20:08"/>
    <x v="5"/>
    <x v="2"/>
    <x v="11"/>
    <s v="751-06-2730"/>
    <s v="M"/>
    <x v="2"/>
    <n v="3"/>
    <s v="Threadgill"/>
    <s v="African American"/>
    <b v="1"/>
    <n v="30"/>
    <s v="Orthopedics"/>
  </r>
  <r>
    <d v="2023-06-27T12:17:52"/>
    <x v="5"/>
    <x v="2"/>
    <x v="18"/>
    <s v="236-97-7586"/>
    <s v="F"/>
    <x v="29"/>
    <m/>
    <s v="De la Zenne"/>
    <s v="White"/>
    <b v="0"/>
    <n v="13"/>
    <s v="Orthopedics"/>
  </r>
  <r>
    <d v="2023-06-27T17:12:55"/>
    <x v="5"/>
    <x v="2"/>
    <x v="1"/>
    <s v="546-93-3891"/>
    <s v="M"/>
    <x v="54"/>
    <m/>
    <s v="Beedie"/>
    <s v="African American"/>
    <b v="0"/>
    <n v="39"/>
    <s v="Orthopedics"/>
  </r>
  <r>
    <d v="2023-06-29T03:09:30"/>
    <x v="5"/>
    <x v="4"/>
    <x v="6"/>
    <s v="651-29-6896"/>
    <s v="F"/>
    <x v="67"/>
    <m/>
    <s v="Birdwhistell"/>
    <s v="Native American/Alaska Native"/>
    <b v="0"/>
    <n v="58"/>
    <s v="Orthopedics"/>
  </r>
  <r>
    <d v="2023-06-29T11:57:07"/>
    <x v="5"/>
    <x v="4"/>
    <x v="11"/>
    <s v="493-57-5938"/>
    <s v="F"/>
    <x v="68"/>
    <m/>
    <s v="Sherwen"/>
    <s v="Asian"/>
    <b v="0"/>
    <n v="24"/>
    <s v="Orthopedics"/>
  </r>
  <r>
    <d v="2023-06-29T14:27:12"/>
    <x v="5"/>
    <x v="4"/>
    <x v="2"/>
    <s v="178-52-1500"/>
    <s v="M"/>
    <x v="29"/>
    <m/>
    <s v="Beavington"/>
    <s v="White"/>
    <b v="0"/>
    <n v="59"/>
    <s v="Orthopedics"/>
  </r>
  <r>
    <d v="2023-06-30T09:07:20"/>
    <x v="5"/>
    <x v="6"/>
    <x v="14"/>
    <s v="778-27-5802"/>
    <s v="F"/>
    <x v="64"/>
    <m/>
    <s v="Collymore"/>
    <s v="African American"/>
    <b v="1"/>
    <n v="60"/>
    <s v="Orthopedics"/>
  </r>
  <r>
    <d v="2023-06-30T14:19:46"/>
    <x v="5"/>
    <x v="6"/>
    <x v="2"/>
    <s v="297-74-6777"/>
    <s v="M"/>
    <x v="24"/>
    <m/>
    <s v="Bartolomeu"/>
    <s v="White"/>
    <b v="1"/>
    <n v="21"/>
    <s v="Orthopedics"/>
  </r>
  <r>
    <d v="2023-07-01T09:05:13"/>
    <x v="6"/>
    <x v="5"/>
    <x v="14"/>
    <s v="610-81-3745"/>
    <s v="M"/>
    <x v="50"/>
    <m/>
    <s v="Hing"/>
    <s v="White"/>
    <b v="1"/>
    <n v="56"/>
    <s v="Orthopedics"/>
  </r>
  <r>
    <d v="2023-07-01T16:18:52"/>
    <x v="6"/>
    <x v="5"/>
    <x v="7"/>
    <s v="854-45-3713"/>
    <s v="F"/>
    <x v="65"/>
    <n v="5"/>
    <s v="Riggulsford"/>
    <s v="Two or More Races"/>
    <b v="1"/>
    <n v="16"/>
    <s v="Orthopedics"/>
  </r>
  <r>
    <d v="2023-07-02T00:46:27"/>
    <x v="6"/>
    <x v="0"/>
    <x v="21"/>
    <s v="702-38-3084"/>
    <s v="M"/>
    <x v="76"/>
    <m/>
    <s v="Sinden"/>
    <s v="African American"/>
    <b v="0"/>
    <n v="17"/>
    <s v="Orthopedics"/>
  </r>
  <r>
    <d v="2023-07-03T14:40:26"/>
    <x v="6"/>
    <x v="1"/>
    <x v="2"/>
    <s v="500-31-0203"/>
    <s v="F"/>
    <x v="72"/>
    <m/>
    <s v="Congdon"/>
    <s v="Native American/Alaska Native"/>
    <b v="0"/>
    <n v="11"/>
    <s v="Orthopedics"/>
  </r>
  <r>
    <d v="2023-07-05T00:36:57"/>
    <x v="6"/>
    <x v="3"/>
    <x v="21"/>
    <s v="748-29-8054"/>
    <s v="F"/>
    <x v="39"/>
    <n v="7"/>
    <s v="Wollers"/>
    <s v="African American"/>
    <b v="0"/>
    <n v="55"/>
    <s v="Orthopedics"/>
  </r>
  <r>
    <d v="2023-07-07T18:36:06"/>
    <x v="6"/>
    <x v="6"/>
    <x v="13"/>
    <s v="270-64-7975"/>
    <s v="M"/>
    <x v="7"/>
    <m/>
    <s v="Gunston"/>
    <s v="Two or More Races"/>
    <b v="1"/>
    <n v="40"/>
    <s v="Orthopedics"/>
  </r>
  <r>
    <d v="2023-07-08T00:03:29"/>
    <x v="6"/>
    <x v="5"/>
    <x v="21"/>
    <s v="310-55-5331"/>
    <s v="M"/>
    <x v="9"/>
    <n v="5"/>
    <s v="Goneau"/>
    <s v="African American"/>
    <b v="0"/>
    <n v="16"/>
    <s v="Orthopedics"/>
  </r>
  <r>
    <d v="2023-07-09T19:30:16"/>
    <x v="6"/>
    <x v="0"/>
    <x v="19"/>
    <s v="876-79-7112"/>
    <s v="F"/>
    <x v="33"/>
    <m/>
    <s v="Halfacre"/>
    <s v="White"/>
    <b v="1"/>
    <n v="11"/>
    <s v="Orthopedics"/>
  </r>
  <r>
    <d v="2023-07-09T23:09:59"/>
    <x v="6"/>
    <x v="0"/>
    <x v="20"/>
    <s v="431-19-3103"/>
    <s v="M"/>
    <x v="77"/>
    <m/>
    <s v="Verrick"/>
    <s v="Two or More Races"/>
    <b v="1"/>
    <n v="17"/>
    <s v="Orthopedics"/>
  </r>
  <r>
    <d v="2023-07-10T02:24:50"/>
    <x v="6"/>
    <x v="1"/>
    <x v="16"/>
    <s v="728-34-1870"/>
    <s v="F"/>
    <x v="12"/>
    <m/>
    <s v="Duester"/>
    <s v="Native American/Alaska Native"/>
    <b v="0"/>
    <n v="30"/>
    <s v="Orthopedics"/>
  </r>
  <r>
    <d v="2023-07-10T12:32:49"/>
    <x v="6"/>
    <x v="1"/>
    <x v="18"/>
    <s v="696-86-5614"/>
    <s v="F"/>
    <x v="45"/>
    <n v="9"/>
    <s v="Winfrey"/>
    <s v="Pacific Islander"/>
    <b v="1"/>
    <n v="15"/>
    <s v="Orthopedics"/>
  </r>
  <r>
    <d v="2023-07-10T13:34:22"/>
    <x v="6"/>
    <x v="1"/>
    <x v="0"/>
    <s v="517-09-3692"/>
    <s v="M"/>
    <x v="69"/>
    <m/>
    <s v="Stanyland"/>
    <s v="African American"/>
    <b v="0"/>
    <n v="58"/>
    <s v="Orthopedics"/>
  </r>
  <r>
    <d v="2023-07-12T09:35:08"/>
    <x v="6"/>
    <x v="3"/>
    <x v="14"/>
    <s v="831-25-4717"/>
    <s v="M"/>
    <x v="36"/>
    <m/>
    <s v="McGriffin"/>
    <s v="White"/>
    <b v="1"/>
    <n v="58"/>
    <s v="Orthopedics"/>
  </r>
  <r>
    <d v="2023-07-12T13:12:33"/>
    <x v="6"/>
    <x v="3"/>
    <x v="0"/>
    <s v="285-41-0221"/>
    <s v="M"/>
    <x v="65"/>
    <m/>
    <s v="Aggiss"/>
    <s v="Two or More Races"/>
    <b v="0"/>
    <n v="52"/>
    <s v="Orthopedics"/>
  </r>
  <r>
    <d v="2023-07-12T19:18:37"/>
    <x v="6"/>
    <x v="3"/>
    <x v="19"/>
    <s v="558-14-1217"/>
    <s v="M"/>
    <x v="50"/>
    <n v="8"/>
    <s v="Lead"/>
    <s v="Native American/Alaska Native"/>
    <b v="1"/>
    <n v="51"/>
    <s v="Orthopedics"/>
  </r>
  <r>
    <d v="2023-07-13T02:40:58"/>
    <x v="6"/>
    <x v="4"/>
    <x v="16"/>
    <s v="854-88-8632"/>
    <s v="M"/>
    <x v="0"/>
    <m/>
    <s v="Fassan"/>
    <s v="African American"/>
    <b v="1"/>
    <n v="36"/>
    <s v="Orthopedics"/>
  </r>
  <r>
    <d v="2023-07-13T06:12:56"/>
    <x v="6"/>
    <x v="4"/>
    <x v="23"/>
    <s v="557-05-5863"/>
    <s v="M"/>
    <x v="15"/>
    <m/>
    <s v="Gillford"/>
    <s v="Two or More Races"/>
    <b v="0"/>
    <n v="29"/>
    <s v="Orthopedics"/>
  </r>
  <r>
    <d v="2023-07-13T09:49:04"/>
    <x v="6"/>
    <x v="4"/>
    <x v="14"/>
    <s v="647-52-7688"/>
    <s v="M"/>
    <x v="16"/>
    <n v="4"/>
    <s v="Worham"/>
    <s v="White"/>
    <b v="0"/>
    <n v="51"/>
    <s v="Orthopedics"/>
  </r>
  <r>
    <d v="2023-07-13T15:30:32"/>
    <x v="6"/>
    <x v="4"/>
    <x v="12"/>
    <s v="204-52-5423"/>
    <s v="F"/>
    <x v="7"/>
    <m/>
    <s v="Lobe"/>
    <s v="White"/>
    <b v="0"/>
    <n v="55"/>
    <s v="Orthopedics"/>
  </r>
  <r>
    <d v="2023-07-13T19:48:46"/>
    <x v="6"/>
    <x v="4"/>
    <x v="19"/>
    <s v="734-01-2423"/>
    <s v="F"/>
    <x v="57"/>
    <m/>
    <s v="Oleshunin"/>
    <s v="African American"/>
    <b v="1"/>
    <n v="40"/>
    <s v="Orthopedics"/>
  </r>
  <r>
    <d v="2023-07-15T00:14:37"/>
    <x v="6"/>
    <x v="5"/>
    <x v="21"/>
    <s v="270-81-6460"/>
    <s v="M"/>
    <x v="74"/>
    <m/>
    <s v="Blessed"/>
    <s v="Declined to Identify"/>
    <b v="1"/>
    <n v="38"/>
    <s v="Orthopedics"/>
  </r>
  <r>
    <d v="2023-07-15T16:49:43"/>
    <x v="6"/>
    <x v="5"/>
    <x v="7"/>
    <s v="429-49-3591"/>
    <s v="F"/>
    <x v="2"/>
    <m/>
    <s v="Polon"/>
    <s v="African American"/>
    <b v="0"/>
    <n v="44"/>
    <s v="Orthopedics"/>
  </r>
  <r>
    <d v="2023-07-15T21:07:07"/>
    <x v="6"/>
    <x v="5"/>
    <x v="3"/>
    <s v="398-45-7125"/>
    <s v="F"/>
    <x v="7"/>
    <m/>
    <s v="Butler"/>
    <s v="African American"/>
    <b v="1"/>
    <n v="11"/>
    <s v="Orthopedics"/>
  </r>
  <r>
    <d v="2023-07-16T02:15:19"/>
    <x v="6"/>
    <x v="0"/>
    <x v="16"/>
    <s v="763-35-7575"/>
    <s v="F"/>
    <x v="35"/>
    <m/>
    <s v="Snarie"/>
    <s v="Declined to Identify"/>
    <b v="0"/>
    <n v="51"/>
    <s v="Orthopedics"/>
  </r>
  <r>
    <d v="2023-07-16T03:12:22"/>
    <x v="6"/>
    <x v="0"/>
    <x v="6"/>
    <s v="186-48-7416"/>
    <s v="F"/>
    <x v="63"/>
    <n v="3"/>
    <s v="Abbotson"/>
    <s v="White"/>
    <b v="1"/>
    <n v="24"/>
    <s v="Orthopedics"/>
  </r>
  <r>
    <d v="2023-07-16T05:20:04"/>
    <x v="6"/>
    <x v="0"/>
    <x v="5"/>
    <s v="774-12-1839"/>
    <s v="M"/>
    <x v="26"/>
    <m/>
    <s v="Toplis"/>
    <s v="Asian"/>
    <b v="1"/>
    <n v="56"/>
    <s v="Orthopedics"/>
  </r>
  <r>
    <d v="2023-07-16T13:29:57"/>
    <x v="6"/>
    <x v="0"/>
    <x v="0"/>
    <s v="703-94-1485"/>
    <s v="F"/>
    <x v="78"/>
    <m/>
    <s v="Morey"/>
    <s v="Asian"/>
    <b v="1"/>
    <n v="15"/>
    <s v="Orthopedics"/>
  </r>
  <r>
    <d v="2023-07-17T13:56:05"/>
    <x v="6"/>
    <x v="1"/>
    <x v="0"/>
    <s v="508-93-6274"/>
    <s v="F"/>
    <x v="43"/>
    <n v="2"/>
    <s v="Moorman"/>
    <s v="Pacific Islander"/>
    <b v="0"/>
    <n v="34"/>
    <s v="Orthopedics"/>
  </r>
  <r>
    <d v="2023-07-17T22:52:59"/>
    <x v="6"/>
    <x v="1"/>
    <x v="9"/>
    <s v="531-80-4313"/>
    <s v="F"/>
    <x v="45"/>
    <m/>
    <s v="Finnick"/>
    <s v="Pacific Islander"/>
    <b v="0"/>
    <n v="47"/>
    <s v="Orthopedics"/>
  </r>
  <r>
    <d v="2023-07-18T07:11:38"/>
    <x v="6"/>
    <x v="2"/>
    <x v="17"/>
    <s v="715-62-6956"/>
    <s v="M"/>
    <x v="9"/>
    <n v="3"/>
    <s v="Iltchev"/>
    <s v="White"/>
    <b v="0"/>
    <n v="58"/>
    <s v="Orthopedics"/>
  </r>
  <r>
    <d v="2023-07-19T04:21:36"/>
    <x v="6"/>
    <x v="3"/>
    <x v="4"/>
    <s v="465-96-7433"/>
    <s v="F"/>
    <x v="40"/>
    <m/>
    <s v="Willshee"/>
    <s v="African American"/>
    <b v="1"/>
    <n v="30"/>
    <s v="Orthopedics"/>
  </r>
  <r>
    <d v="2023-07-19T06:27:03"/>
    <x v="6"/>
    <x v="3"/>
    <x v="23"/>
    <s v="418-68-8857"/>
    <s v="F"/>
    <x v="29"/>
    <m/>
    <s v="Sawkin"/>
    <s v="African American"/>
    <b v="0"/>
    <n v="58"/>
    <s v="Orthopedics"/>
  </r>
  <r>
    <d v="2023-07-19T08:58:33"/>
    <x v="6"/>
    <x v="3"/>
    <x v="22"/>
    <s v="744-52-3785"/>
    <s v="M"/>
    <x v="67"/>
    <m/>
    <s v="Josuweit"/>
    <s v="White"/>
    <b v="1"/>
    <n v="47"/>
    <s v="Orthopedics"/>
  </r>
  <r>
    <d v="2023-07-19T13:58:31"/>
    <x v="6"/>
    <x v="3"/>
    <x v="0"/>
    <s v="731-24-5816"/>
    <s v="M"/>
    <x v="73"/>
    <m/>
    <s v="Snoxall"/>
    <s v="African American"/>
    <b v="1"/>
    <n v="34"/>
    <s v="Orthopedics"/>
  </r>
  <r>
    <d v="2023-07-20T00:00:11"/>
    <x v="6"/>
    <x v="4"/>
    <x v="21"/>
    <s v="360-05-3720"/>
    <s v="F"/>
    <x v="1"/>
    <n v="1"/>
    <s v="Francesch"/>
    <s v="White"/>
    <b v="1"/>
    <n v="15"/>
    <s v="Orthopedics"/>
  </r>
  <r>
    <d v="2023-07-20T05:50:01"/>
    <x v="6"/>
    <x v="4"/>
    <x v="5"/>
    <s v="452-87-5629"/>
    <s v="M"/>
    <x v="41"/>
    <n v="5"/>
    <s v="Wilgar"/>
    <s v="African American"/>
    <b v="0"/>
    <n v="49"/>
    <s v="Orthopedics"/>
  </r>
  <r>
    <d v="2023-07-20T13:34:21"/>
    <x v="6"/>
    <x v="4"/>
    <x v="0"/>
    <s v="875-57-2036"/>
    <s v="F"/>
    <x v="34"/>
    <m/>
    <s v="Raggles"/>
    <s v="Asian"/>
    <b v="0"/>
    <n v="30"/>
    <s v="Orthopedics"/>
  </r>
  <r>
    <d v="2023-07-20T19:15:09"/>
    <x v="6"/>
    <x v="4"/>
    <x v="19"/>
    <s v="623-89-4272"/>
    <s v="F"/>
    <x v="71"/>
    <m/>
    <s v="Pobjay"/>
    <s v="White"/>
    <b v="1"/>
    <n v="26"/>
    <s v="Orthopedics"/>
  </r>
  <r>
    <d v="2023-07-21T00:52:06"/>
    <x v="6"/>
    <x v="6"/>
    <x v="21"/>
    <s v="632-49-6543"/>
    <s v="F"/>
    <x v="75"/>
    <m/>
    <s v="Pagel"/>
    <s v="White"/>
    <b v="0"/>
    <n v="10"/>
    <s v="Orthopedics"/>
  </r>
  <r>
    <d v="2023-07-21T01:30:41"/>
    <x v="6"/>
    <x v="6"/>
    <x v="15"/>
    <s v="673-44-9918"/>
    <s v="F"/>
    <x v="58"/>
    <m/>
    <s v="Lindelof"/>
    <s v="White"/>
    <b v="1"/>
    <n v="34"/>
    <s v="Orthopedics"/>
  </r>
  <r>
    <d v="2023-07-21T06:09:00"/>
    <x v="6"/>
    <x v="6"/>
    <x v="23"/>
    <s v="128-72-0119"/>
    <s v="M"/>
    <x v="71"/>
    <m/>
    <s v="Irce"/>
    <s v="White"/>
    <b v="1"/>
    <n v="27"/>
    <s v="Orthopedics"/>
  </r>
  <r>
    <d v="2023-07-21T12:51:02"/>
    <x v="6"/>
    <x v="6"/>
    <x v="18"/>
    <s v="342-05-3969"/>
    <s v="F"/>
    <x v="4"/>
    <m/>
    <s v="Sinnott"/>
    <s v="White"/>
    <b v="0"/>
    <n v="36"/>
    <s v="Orthopedics"/>
  </r>
  <r>
    <d v="2023-07-21T14:09:27"/>
    <x v="6"/>
    <x v="6"/>
    <x v="2"/>
    <s v="318-50-0134"/>
    <s v="M"/>
    <x v="48"/>
    <n v="6"/>
    <s v="Gutowska"/>
    <s v="White"/>
    <b v="0"/>
    <n v="44"/>
    <s v="Orthopedics"/>
  </r>
  <r>
    <d v="2023-07-24T18:25:15"/>
    <x v="6"/>
    <x v="1"/>
    <x v="13"/>
    <s v="129-25-8655"/>
    <s v="F"/>
    <x v="14"/>
    <n v="5"/>
    <s v="Pimer"/>
    <s v="White"/>
    <b v="1"/>
    <n v="19"/>
    <s v="Orthopedics"/>
  </r>
  <r>
    <d v="2023-07-24T20:13:17"/>
    <x v="6"/>
    <x v="1"/>
    <x v="8"/>
    <s v="853-27-4550"/>
    <s v="M"/>
    <x v="50"/>
    <m/>
    <s v="Kewzick"/>
    <s v="African American"/>
    <b v="0"/>
    <n v="20"/>
    <s v="Orthopedics"/>
  </r>
  <r>
    <d v="2023-07-25T05:49:56"/>
    <x v="6"/>
    <x v="2"/>
    <x v="5"/>
    <s v="259-41-9306"/>
    <s v="M"/>
    <x v="30"/>
    <m/>
    <s v="Woolvin"/>
    <s v="Asian"/>
    <b v="0"/>
    <n v="49"/>
    <s v="Orthopedics"/>
  </r>
  <r>
    <d v="2023-07-25T08:58:54"/>
    <x v="6"/>
    <x v="2"/>
    <x v="22"/>
    <s v="464-44-5970"/>
    <s v="M"/>
    <x v="26"/>
    <m/>
    <s v="Turneaux"/>
    <s v="African American"/>
    <b v="0"/>
    <n v="28"/>
    <s v="Orthopedics"/>
  </r>
  <r>
    <d v="2023-07-25T10:58:51"/>
    <x v="6"/>
    <x v="2"/>
    <x v="10"/>
    <s v="142-34-3319"/>
    <s v="M"/>
    <x v="64"/>
    <m/>
    <s v="Wethey"/>
    <s v="Declined to Identify"/>
    <b v="1"/>
    <n v="25"/>
    <s v="Orthopedics"/>
  </r>
  <r>
    <d v="2023-07-25T14:28:22"/>
    <x v="6"/>
    <x v="2"/>
    <x v="2"/>
    <s v="547-76-7829"/>
    <s v="M"/>
    <x v="10"/>
    <m/>
    <s v="Dyson"/>
    <s v="African American"/>
    <b v="1"/>
    <n v="25"/>
    <s v="Orthopedics"/>
  </r>
  <r>
    <d v="2023-07-26T01:12:45"/>
    <x v="6"/>
    <x v="3"/>
    <x v="15"/>
    <s v="216-85-2300"/>
    <s v="F"/>
    <x v="39"/>
    <m/>
    <s v="Kenforth"/>
    <s v="Two or More Races"/>
    <b v="0"/>
    <n v="38"/>
    <s v="Orthopedics"/>
  </r>
  <r>
    <d v="2023-07-27T05:03:42"/>
    <x v="6"/>
    <x v="4"/>
    <x v="5"/>
    <s v="789-50-5483"/>
    <s v="M"/>
    <x v="14"/>
    <n v="4"/>
    <s v="Wickstead"/>
    <s v="Declined to Identify"/>
    <b v="0"/>
    <n v="35"/>
    <s v="Orthopedics"/>
  </r>
  <r>
    <d v="2023-07-27T13:05:25"/>
    <x v="6"/>
    <x v="4"/>
    <x v="0"/>
    <s v="800-66-2051"/>
    <s v="M"/>
    <x v="75"/>
    <n v="5"/>
    <s v="Plastow"/>
    <s v="White"/>
    <b v="0"/>
    <n v="60"/>
    <s v="Orthopedics"/>
  </r>
  <r>
    <d v="2023-07-28T07:27:48"/>
    <x v="6"/>
    <x v="6"/>
    <x v="17"/>
    <s v="793-29-8977"/>
    <s v="F"/>
    <x v="33"/>
    <m/>
    <s v="Gentric"/>
    <s v="Pacific Islander"/>
    <b v="1"/>
    <n v="39"/>
    <s v="Orthopedics"/>
  </r>
  <r>
    <d v="2023-07-29T13:55:50"/>
    <x v="6"/>
    <x v="5"/>
    <x v="0"/>
    <s v="656-57-4812"/>
    <s v="F"/>
    <x v="26"/>
    <m/>
    <s v="Lowing"/>
    <s v="Declined to Identify"/>
    <b v="0"/>
    <n v="49"/>
    <s v="Orthopedics"/>
  </r>
  <r>
    <d v="2023-07-29T18:50:36"/>
    <x v="6"/>
    <x v="5"/>
    <x v="13"/>
    <s v="857-74-9716"/>
    <s v="F"/>
    <x v="75"/>
    <m/>
    <s v="Brownill"/>
    <s v="White"/>
    <b v="0"/>
    <n v="40"/>
    <s v="Orthopedics"/>
  </r>
  <r>
    <d v="2023-07-29T21:43:55"/>
    <x v="6"/>
    <x v="5"/>
    <x v="3"/>
    <s v="432-18-6164"/>
    <s v="F"/>
    <x v="7"/>
    <m/>
    <s v="Thouless"/>
    <s v="African American"/>
    <b v="1"/>
    <n v="23"/>
    <s v="Orthopedics"/>
  </r>
  <r>
    <d v="2023-07-30T22:16:56"/>
    <x v="6"/>
    <x v="0"/>
    <x v="9"/>
    <s v="394-04-2226"/>
    <s v="M"/>
    <x v="63"/>
    <m/>
    <s v="Fargie"/>
    <s v="Two or More Races"/>
    <b v="1"/>
    <n v="27"/>
    <s v="Orthopedics"/>
  </r>
  <r>
    <d v="2023-07-30T23:13:29"/>
    <x v="6"/>
    <x v="0"/>
    <x v="20"/>
    <s v="776-13-4447"/>
    <s v="M"/>
    <x v="4"/>
    <m/>
    <s v="Curness"/>
    <s v="Two or More Races"/>
    <b v="0"/>
    <n v="33"/>
    <s v="Orthopedics"/>
  </r>
  <r>
    <d v="2023-07-31T02:59:34"/>
    <x v="6"/>
    <x v="1"/>
    <x v="16"/>
    <s v="255-15-5945"/>
    <s v="M"/>
    <x v="45"/>
    <m/>
    <s v="Shortcliffe"/>
    <s v="Pacific Islander"/>
    <b v="1"/>
    <n v="30"/>
    <s v="Orthopedics"/>
  </r>
  <r>
    <d v="2023-07-31T15:22:41"/>
    <x v="6"/>
    <x v="1"/>
    <x v="12"/>
    <s v="718-40-9446"/>
    <s v="F"/>
    <x v="36"/>
    <n v="1"/>
    <s v="Mitrikhin"/>
    <s v="Two or More Races"/>
    <b v="0"/>
    <n v="55"/>
    <s v="Orthopedics"/>
  </r>
  <r>
    <d v="2023-08-01T08:55:34"/>
    <x v="7"/>
    <x v="2"/>
    <x v="22"/>
    <s v="250-44-9023"/>
    <s v="F"/>
    <x v="63"/>
    <n v="6"/>
    <s v="Paaso"/>
    <s v="Native American/Alaska Native"/>
    <b v="0"/>
    <n v="15"/>
    <s v="Orthopedics"/>
  </r>
  <r>
    <d v="2023-08-01T17:18:17"/>
    <x v="7"/>
    <x v="2"/>
    <x v="1"/>
    <s v="283-07-6389"/>
    <s v="M"/>
    <x v="18"/>
    <n v="5"/>
    <s v="Kildea"/>
    <s v="White"/>
    <b v="0"/>
    <n v="51"/>
    <s v="Orthopedics"/>
  </r>
  <r>
    <d v="2023-08-02T00:06:17"/>
    <x v="7"/>
    <x v="3"/>
    <x v="21"/>
    <s v="398-76-7789"/>
    <s v="F"/>
    <x v="41"/>
    <m/>
    <s v="Putt"/>
    <s v="Declined to Identify"/>
    <b v="0"/>
    <n v="26"/>
    <s v="Orthopedics"/>
  </r>
  <r>
    <d v="2023-08-02T16:14:53"/>
    <x v="7"/>
    <x v="3"/>
    <x v="7"/>
    <s v="427-61-4630"/>
    <s v="M"/>
    <x v="6"/>
    <n v="6"/>
    <s v="MacFarland"/>
    <s v="White"/>
    <b v="0"/>
    <n v="37"/>
    <s v="Orthopedics"/>
  </r>
  <r>
    <d v="2023-08-02T18:44:27"/>
    <x v="7"/>
    <x v="3"/>
    <x v="13"/>
    <s v="138-91-1480"/>
    <s v="M"/>
    <x v="73"/>
    <m/>
    <s v="Rushbrook"/>
    <s v="African American"/>
    <b v="0"/>
    <n v="11"/>
    <s v="Orthopedics"/>
  </r>
  <r>
    <d v="2023-08-03T01:27:49"/>
    <x v="7"/>
    <x v="4"/>
    <x v="15"/>
    <s v="690-03-4668"/>
    <s v="M"/>
    <x v="21"/>
    <m/>
    <s v="Stonard"/>
    <s v="Two or More Races"/>
    <b v="1"/>
    <n v="18"/>
    <s v="Orthopedics"/>
  </r>
  <r>
    <d v="2023-08-03T07:14:25"/>
    <x v="7"/>
    <x v="4"/>
    <x v="17"/>
    <s v="610-42-3028"/>
    <s v="M"/>
    <x v="2"/>
    <m/>
    <s v="Coghill"/>
    <s v="African American"/>
    <b v="0"/>
    <n v="42"/>
    <s v="Orthopedics"/>
  </r>
  <r>
    <d v="2023-08-03T08:24:22"/>
    <x v="7"/>
    <x v="4"/>
    <x v="22"/>
    <s v="802-14-1812"/>
    <s v="M"/>
    <x v="21"/>
    <n v="7"/>
    <s v="Methven"/>
    <s v="Asian"/>
    <b v="1"/>
    <n v="52"/>
    <s v="Orthopedics"/>
  </r>
  <r>
    <d v="2023-08-03T18:41:56"/>
    <x v="7"/>
    <x v="4"/>
    <x v="13"/>
    <s v="614-30-7245"/>
    <s v="F"/>
    <x v="2"/>
    <m/>
    <s v="Blinder"/>
    <s v="White"/>
    <b v="0"/>
    <n v="24"/>
    <s v="Orthopedics"/>
  </r>
  <r>
    <d v="2023-08-04T19:52:59"/>
    <x v="7"/>
    <x v="6"/>
    <x v="19"/>
    <s v="398-53-4396"/>
    <s v="M"/>
    <x v="75"/>
    <n v="6"/>
    <s v="Dunsford"/>
    <s v="Native American/Alaska Native"/>
    <b v="0"/>
    <n v="40"/>
    <s v="Orthopedics"/>
  </r>
  <r>
    <d v="2023-08-04T22:30:36"/>
    <x v="7"/>
    <x v="6"/>
    <x v="9"/>
    <s v="171-97-5054"/>
    <s v="F"/>
    <x v="18"/>
    <n v="9"/>
    <s v="MacCosto"/>
    <s v="Two or More Races"/>
    <b v="0"/>
    <n v="30"/>
    <s v="Orthopedics"/>
  </r>
  <r>
    <d v="2023-08-06T16:10:44"/>
    <x v="7"/>
    <x v="0"/>
    <x v="7"/>
    <s v="807-93-0539"/>
    <s v="M"/>
    <x v="73"/>
    <n v="4"/>
    <s v="Sawter"/>
    <s v="Declined to Identify"/>
    <b v="1"/>
    <n v="25"/>
    <s v="Orthopedics"/>
  </r>
  <r>
    <d v="2023-08-07T15:37:45"/>
    <x v="7"/>
    <x v="1"/>
    <x v="12"/>
    <s v="225-49-2583"/>
    <s v="M"/>
    <x v="29"/>
    <m/>
    <s v="Vinsen"/>
    <s v="White"/>
    <b v="0"/>
    <n v="40"/>
    <s v="Orthopedics"/>
  </r>
  <r>
    <d v="2023-08-08T01:32:39"/>
    <x v="7"/>
    <x v="2"/>
    <x v="15"/>
    <s v="644-37-7174"/>
    <s v="M"/>
    <x v="30"/>
    <m/>
    <s v="Hornig"/>
    <s v="Two or More Races"/>
    <b v="0"/>
    <n v="44"/>
    <s v="Orthopedics"/>
  </r>
  <r>
    <d v="2023-08-08T05:21:59"/>
    <x v="7"/>
    <x v="2"/>
    <x v="5"/>
    <s v="879-09-0173"/>
    <s v="M"/>
    <x v="50"/>
    <m/>
    <s v="Daal"/>
    <s v="Declined to Identify"/>
    <b v="1"/>
    <n v="20"/>
    <s v="Orthopedics"/>
  </r>
  <r>
    <d v="2023-08-08T21:48:09"/>
    <x v="7"/>
    <x v="2"/>
    <x v="3"/>
    <s v="185-45-4039"/>
    <s v="F"/>
    <x v="75"/>
    <n v="6"/>
    <s v="Palphreyman"/>
    <s v="White"/>
    <b v="0"/>
    <n v="12"/>
    <s v="Orthopedics"/>
  </r>
  <r>
    <d v="2023-08-09T00:34:19"/>
    <x v="7"/>
    <x v="3"/>
    <x v="21"/>
    <s v="644-62-8312"/>
    <s v="M"/>
    <x v="67"/>
    <n v="4"/>
    <s v="Bille"/>
    <s v="Declined to Identify"/>
    <b v="0"/>
    <n v="28"/>
    <s v="Orthopedics"/>
  </r>
  <r>
    <d v="2023-08-09T03:12:18"/>
    <x v="7"/>
    <x v="3"/>
    <x v="6"/>
    <s v="544-63-0784"/>
    <s v="M"/>
    <x v="26"/>
    <m/>
    <s v="Cappleman"/>
    <s v="Native American/Alaska Native"/>
    <b v="0"/>
    <n v="56"/>
    <s v="Orthopedics"/>
  </r>
  <r>
    <d v="2023-08-09T08:03:37"/>
    <x v="7"/>
    <x v="3"/>
    <x v="22"/>
    <s v="225-66-0995"/>
    <s v="F"/>
    <x v="18"/>
    <m/>
    <s v="Verden"/>
    <s v="African American"/>
    <b v="1"/>
    <n v="53"/>
    <s v="Orthopedics"/>
  </r>
  <r>
    <d v="2023-08-10T02:38:40"/>
    <x v="7"/>
    <x v="4"/>
    <x v="16"/>
    <s v="760-33-4176"/>
    <s v="F"/>
    <x v="25"/>
    <m/>
    <s v="Dear"/>
    <s v="White"/>
    <b v="0"/>
    <n v="57"/>
    <s v="Orthopedics"/>
  </r>
  <r>
    <d v="2023-08-10T22:43:38"/>
    <x v="7"/>
    <x v="4"/>
    <x v="9"/>
    <s v="450-09-5808"/>
    <s v="M"/>
    <x v="34"/>
    <m/>
    <s v="Saladine"/>
    <s v="White"/>
    <b v="1"/>
    <n v="31"/>
    <s v="Orthopedics"/>
  </r>
  <r>
    <d v="2023-08-12T06:04:52"/>
    <x v="7"/>
    <x v="5"/>
    <x v="23"/>
    <s v="612-63-4048"/>
    <s v="M"/>
    <x v="17"/>
    <n v="10"/>
    <s v="Stodart"/>
    <s v="African American"/>
    <b v="0"/>
    <n v="58"/>
    <s v="Orthopedics"/>
  </r>
  <r>
    <d v="2023-08-12T07:57:02"/>
    <x v="7"/>
    <x v="5"/>
    <x v="17"/>
    <s v="395-80-7937"/>
    <s v="M"/>
    <x v="17"/>
    <m/>
    <s v="Knagges"/>
    <s v="White"/>
    <b v="0"/>
    <n v="46"/>
    <s v="Orthopedics"/>
  </r>
  <r>
    <d v="2023-08-12T08:26:49"/>
    <x v="7"/>
    <x v="5"/>
    <x v="22"/>
    <s v="543-30-7171"/>
    <s v="M"/>
    <x v="74"/>
    <m/>
    <s v="Canty"/>
    <s v="White"/>
    <b v="0"/>
    <n v="60"/>
    <s v="Orthopedics"/>
  </r>
  <r>
    <d v="2023-08-12T14:46:37"/>
    <x v="7"/>
    <x v="5"/>
    <x v="2"/>
    <s v="822-41-7734"/>
    <s v="F"/>
    <x v="6"/>
    <m/>
    <s v="Dowall"/>
    <s v="Two or More Races"/>
    <b v="0"/>
    <n v="52"/>
    <s v="Orthopedics"/>
  </r>
  <r>
    <d v="2023-08-13T03:57:13"/>
    <x v="7"/>
    <x v="0"/>
    <x v="6"/>
    <s v="472-80-8183"/>
    <s v="M"/>
    <x v="73"/>
    <n v="1"/>
    <s v="Simner"/>
    <s v="White"/>
    <b v="0"/>
    <n v="52"/>
    <s v="Orthopedics"/>
  </r>
  <r>
    <d v="2023-08-14T05:58:39"/>
    <x v="7"/>
    <x v="1"/>
    <x v="5"/>
    <s v="825-27-0713"/>
    <s v="F"/>
    <x v="0"/>
    <m/>
    <s v="Doumer"/>
    <s v="Native American/Alaska Native"/>
    <b v="0"/>
    <n v="35"/>
    <s v="Orthopedics"/>
  </r>
  <r>
    <d v="2023-08-14T06:20:04"/>
    <x v="7"/>
    <x v="1"/>
    <x v="23"/>
    <s v="102-21-5953"/>
    <s v="F"/>
    <x v="33"/>
    <m/>
    <s v="Annett"/>
    <s v="White"/>
    <b v="0"/>
    <n v="11"/>
    <s v="Orthopedics"/>
  </r>
  <r>
    <d v="2023-08-14T19:05:02"/>
    <x v="7"/>
    <x v="1"/>
    <x v="19"/>
    <s v="490-05-6824"/>
    <s v="M"/>
    <x v="78"/>
    <m/>
    <s v="Chasle"/>
    <s v="African American"/>
    <b v="1"/>
    <n v="28"/>
    <s v="Orthopedics"/>
  </r>
  <r>
    <d v="2023-08-15T05:41:04"/>
    <x v="7"/>
    <x v="2"/>
    <x v="5"/>
    <s v="368-31-2124"/>
    <s v="F"/>
    <x v="62"/>
    <m/>
    <s v="Sealeaf"/>
    <s v="Asian"/>
    <b v="0"/>
    <n v="45"/>
    <s v="Orthopedics"/>
  </r>
  <r>
    <d v="2023-08-15T13:07:02"/>
    <x v="7"/>
    <x v="2"/>
    <x v="0"/>
    <s v="866-26-1903"/>
    <s v="M"/>
    <x v="46"/>
    <n v="3"/>
    <s v="Jerson"/>
    <s v="Asian"/>
    <b v="0"/>
    <n v="24"/>
    <s v="Orthopedics"/>
  </r>
  <r>
    <d v="2023-08-15T17:50:21"/>
    <x v="7"/>
    <x v="2"/>
    <x v="1"/>
    <s v="107-19-6298"/>
    <s v="M"/>
    <x v="75"/>
    <m/>
    <s v="Clendennen"/>
    <s v="Asian"/>
    <b v="0"/>
    <n v="10"/>
    <s v="Orthopedics"/>
  </r>
  <r>
    <d v="2023-08-15T22:19:22"/>
    <x v="7"/>
    <x v="2"/>
    <x v="9"/>
    <s v="171-10-8865"/>
    <s v="M"/>
    <x v="14"/>
    <m/>
    <s v="Dugue"/>
    <s v="White"/>
    <b v="1"/>
    <n v="38"/>
    <s v="Orthopedics"/>
  </r>
  <r>
    <d v="2023-08-16T16:11:17"/>
    <x v="7"/>
    <x v="3"/>
    <x v="7"/>
    <s v="676-74-9268"/>
    <s v="M"/>
    <x v="15"/>
    <m/>
    <s v="Aspinwall"/>
    <s v="Declined to Identify"/>
    <b v="1"/>
    <n v="51"/>
    <s v="Orthopedics"/>
  </r>
  <r>
    <d v="2023-08-17T21:33:31"/>
    <x v="7"/>
    <x v="4"/>
    <x v="3"/>
    <s v="143-12-4621"/>
    <s v="F"/>
    <x v="19"/>
    <m/>
    <s v="Brindle"/>
    <s v="African American"/>
    <b v="0"/>
    <n v="52"/>
    <s v="Orthopedics"/>
  </r>
  <r>
    <d v="2023-08-19T22:53:55"/>
    <x v="7"/>
    <x v="5"/>
    <x v="9"/>
    <s v="564-01-7734"/>
    <s v="M"/>
    <x v="32"/>
    <m/>
    <s v="Tomblett"/>
    <s v="African American"/>
    <b v="1"/>
    <n v="22"/>
    <s v="Orthopedics"/>
  </r>
  <r>
    <d v="2023-08-20T12:43:45"/>
    <x v="7"/>
    <x v="0"/>
    <x v="18"/>
    <s v="185-30-4496"/>
    <s v="M"/>
    <x v="32"/>
    <n v="3"/>
    <s v="de Guise"/>
    <s v="Declined to Identify"/>
    <b v="1"/>
    <n v="56"/>
    <s v="Orthopedics"/>
  </r>
  <r>
    <d v="2023-08-20T17:49:20"/>
    <x v="7"/>
    <x v="0"/>
    <x v="1"/>
    <s v="818-07-9151"/>
    <s v="M"/>
    <x v="31"/>
    <m/>
    <s v="Trengrouse"/>
    <s v="Two or More Races"/>
    <b v="1"/>
    <n v="42"/>
    <s v="Orthopedics"/>
  </r>
  <r>
    <d v="2023-08-21T04:20:32"/>
    <x v="7"/>
    <x v="1"/>
    <x v="4"/>
    <s v="849-30-0675"/>
    <s v="M"/>
    <x v="42"/>
    <m/>
    <s v="Fitzsimon"/>
    <s v="Two or More Races"/>
    <b v="0"/>
    <n v="15"/>
    <s v="Orthopedics"/>
  </r>
  <r>
    <d v="2023-08-23T16:34:56"/>
    <x v="7"/>
    <x v="3"/>
    <x v="7"/>
    <s v="225-31-4539"/>
    <s v="M"/>
    <x v="60"/>
    <n v="10"/>
    <s v="Wisby"/>
    <s v="Two or More Races"/>
    <b v="1"/>
    <n v="60"/>
    <s v="Orthopedics"/>
  </r>
  <r>
    <d v="2023-08-24T17:39:58"/>
    <x v="7"/>
    <x v="4"/>
    <x v="1"/>
    <s v="560-19-5168"/>
    <s v="M"/>
    <x v="19"/>
    <m/>
    <s v="Conew"/>
    <s v="Asian"/>
    <b v="1"/>
    <n v="13"/>
    <s v="Orthopedics"/>
  </r>
  <r>
    <d v="2023-08-24T19:38:13"/>
    <x v="7"/>
    <x v="4"/>
    <x v="19"/>
    <s v="511-74-2373"/>
    <s v="M"/>
    <x v="14"/>
    <m/>
    <s v="Bromont"/>
    <s v="Declined to Identify"/>
    <b v="1"/>
    <n v="18"/>
    <s v="Orthopedics"/>
  </r>
  <r>
    <d v="2023-08-25T05:37:25"/>
    <x v="7"/>
    <x v="6"/>
    <x v="5"/>
    <s v="263-15-6279"/>
    <s v="F"/>
    <x v="78"/>
    <m/>
    <s v="Asplen"/>
    <s v="White"/>
    <b v="0"/>
    <n v="57"/>
    <s v="Orthopedics"/>
  </r>
  <r>
    <d v="2023-08-25T17:02:22"/>
    <x v="7"/>
    <x v="6"/>
    <x v="1"/>
    <s v="227-33-6424"/>
    <s v="M"/>
    <x v="16"/>
    <m/>
    <s v="Rothert"/>
    <s v="Asian"/>
    <b v="0"/>
    <n v="34"/>
    <s v="Orthopedics"/>
  </r>
  <r>
    <d v="2023-08-25T18:04:06"/>
    <x v="7"/>
    <x v="6"/>
    <x v="13"/>
    <s v="483-56-5234"/>
    <s v="M"/>
    <x v="63"/>
    <m/>
    <s v="Pash"/>
    <s v="White"/>
    <b v="0"/>
    <n v="34"/>
    <s v="Orthopedics"/>
  </r>
  <r>
    <d v="2023-08-26T06:28:32"/>
    <x v="7"/>
    <x v="5"/>
    <x v="23"/>
    <s v="892-79-0205"/>
    <s v="M"/>
    <x v="58"/>
    <n v="6"/>
    <s v="Muslim"/>
    <s v="Asian"/>
    <b v="0"/>
    <n v="29"/>
    <s v="Orthopedics"/>
  </r>
  <r>
    <d v="2023-08-26T18:23:08"/>
    <x v="7"/>
    <x v="5"/>
    <x v="13"/>
    <s v="705-06-3874"/>
    <s v="M"/>
    <x v="37"/>
    <m/>
    <s v="Schurcke"/>
    <s v="Two or More Races"/>
    <b v="0"/>
    <n v="18"/>
    <s v="Orthopedics"/>
  </r>
  <r>
    <d v="2023-08-26T21:08:24"/>
    <x v="7"/>
    <x v="5"/>
    <x v="3"/>
    <s v="619-67-1876"/>
    <s v="M"/>
    <x v="11"/>
    <n v="8"/>
    <s v="Scholling"/>
    <s v="Declined to Identify"/>
    <b v="1"/>
    <n v="55"/>
    <s v="Orthopedics"/>
  </r>
  <r>
    <d v="2023-08-28T15:48:57"/>
    <x v="7"/>
    <x v="1"/>
    <x v="12"/>
    <s v="604-19-2040"/>
    <s v="F"/>
    <x v="47"/>
    <n v="6"/>
    <s v="Founds"/>
    <s v="Two or More Races"/>
    <b v="0"/>
    <n v="30"/>
    <s v="Orthopedics"/>
  </r>
  <r>
    <d v="2023-08-28T22:33:16"/>
    <x v="7"/>
    <x v="1"/>
    <x v="9"/>
    <s v="875-56-3403"/>
    <s v="F"/>
    <x v="15"/>
    <n v="3"/>
    <s v="Hornbuckle"/>
    <s v="African American"/>
    <b v="0"/>
    <n v="34"/>
    <s v="Orthopedics"/>
  </r>
  <r>
    <d v="2023-08-29T06:21:18"/>
    <x v="7"/>
    <x v="2"/>
    <x v="23"/>
    <s v="750-10-6392"/>
    <s v="F"/>
    <x v="15"/>
    <m/>
    <s v="Babin"/>
    <s v="White"/>
    <b v="0"/>
    <n v="43"/>
    <s v="Orthopedics"/>
  </r>
  <r>
    <d v="2023-08-30T02:12:43"/>
    <x v="7"/>
    <x v="3"/>
    <x v="16"/>
    <s v="494-29-1509"/>
    <s v="M"/>
    <x v="28"/>
    <n v="9"/>
    <s v="Dawdary"/>
    <s v="Two or More Races"/>
    <b v="1"/>
    <n v="23"/>
    <s v="Orthopedics"/>
  </r>
  <r>
    <d v="2023-08-30T12:06:12"/>
    <x v="7"/>
    <x v="3"/>
    <x v="18"/>
    <s v="313-71-4006"/>
    <s v="M"/>
    <x v="70"/>
    <m/>
    <s v="Lamputt"/>
    <s v="White"/>
    <b v="1"/>
    <n v="58"/>
    <s v="Orthopedics"/>
  </r>
  <r>
    <d v="2023-09-01T02:23:20"/>
    <x v="8"/>
    <x v="6"/>
    <x v="16"/>
    <s v="352-98-0907"/>
    <s v="M"/>
    <x v="15"/>
    <m/>
    <s v="Saywell"/>
    <s v="African American"/>
    <b v="0"/>
    <n v="47"/>
    <s v="Orthopedics"/>
  </r>
  <r>
    <d v="2023-09-01T17:23:19"/>
    <x v="8"/>
    <x v="6"/>
    <x v="1"/>
    <s v="776-73-0164"/>
    <s v="M"/>
    <x v="65"/>
    <n v="2"/>
    <s v="Ridoutt"/>
    <s v="Declined to Identify"/>
    <b v="1"/>
    <n v="30"/>
    <s v="Orthopedics"/>
  </r>
  <r>
    <d v="2023-09-03T04:30:36"/>
    <x v="8"/>
    <x v="0"/>
    <x v="4"/>
    <s v="103-94-9474"/>
    <s v="F"/>
    <x v="78"/>
    <m/>
    <s v="Ronald"/>
    <s v="African American"/>
    <b v="1"/>
    <n v="30"/>
    <s v="Orthopedics"/>
  </r>
  <r>
    <d v="2023-09-04T02:17:53"/>
    <x v="8"/>
    <x v="1"/>
    <x v="16"/>
    <s v="182-69-5382"/>
    <s v="M"/>
    <x v="70"/>
    <m/>
    <s v="Lott"/>
    <s v="Two or More Races"/>
    <b v="1"/>
    <n v="12"/>
    <s v="Orthopedics"/>
  </r>
  <r>
    <d v="2023-09-04T06:27:53"/>
    <x v="8"/>
    <x v="1"/>
    <x v="23"/>
    <s v="860-43-2537"/>
    <s v="M"/>
    <x v="36"/>
    <m/>
    <s v="Wessel"/>
    <s v="Declined to Identify"/>
    <b v="1"/>
    <n v="19"/>
    <s v="Orthopedics"/>
  </r>
  <r>
    <d v="2023-09-04T17:48:27"/>
    <x v="8"/>
    <x v="1"/>
    <x v="1"/>
    <s v="289-26-0537"/>
    <s v="M"/>
    <x v="22"/>
    <m/>
    <s v="Gionettitti"/>
    <s v="African American"/>
    <b v="0"/>
    <n v="10"/>
    <s v="Orthopedics"/>
  </r>
  <r>
    <d v="2023-09-05T19:04:36"/>
    <x v="8"/>
    <x v="2"/>
    <x v="19"/>
    <s v="557-77-2197"/>
    <s v="M"/>
    <x v="39"/>
    <n v="7"/>
    <s v="Weir"/>
    <s v="African American"/>
    <b v="0"/>
    <n v="54"/>
    <s v="Orthopedics"/>
  </r>
  <r>
    <d v="2023-09-06T03:13:30"/>
    <x v="8"/>
    <x v="3"/>
    <x v="6"/>
    <s v="124-28-5022"/>
    <s v="M"/>
    <x v="46"/>
    <m/>
    <s v="Lomasna"/>
    <s v="White"/>
    <b v="0"/>
    <n v="56"/>
    <s v="Orthopedics"/>
  </r>
  <r>
    <d v="2023-09-06T10:01:52"/>
    <x v="8"/>
    <x v="3"/>
    <x v="10"/>
    <s v="605-02-4485"/>
    <s v="F"/>
    <x v="59"/>
    <m/>
    <s v="Elam"/>
    <s v="Declined to Identify"/>
    <b v="0"/>
    <n v="21"/>
    <s v="Orthopedics"/>
  </r>
  <r>
    <d v="2023-09-06T17:40:14"/>
    <x v="8"/>
    <x v="3"/>
    <x v="1"/>
    <s v="737-03-7902"/>
    <s v="F"/>
    <x v="8"/>
    <m/>
    <s v="Stanion"/>
    <s v="White"/>
    <b v="0"/>
    <n v="55"/>
    <s v="Orthopedics"/>
  </r>
  <r>
    <d v="2023-09-07T18:11:30"/>
    <x v="8"/>
    <x v="4"/>
    <x v="13"/>
    <s v="670-84-1971"/>
    <s v="M"/>
    <x v="58"/>
    <n v="1"/>
    <s v="Goodsell"/>
    <s v="White"/>
    <b v="1"/>
    <n v="16"/>
    <s v="Orthopedics"/>
  </r>
  <r>
    <d v="2023-09-07T20:49:54"/>
    <x v="8"/>
    <x v="4"/>
    <x v="8"/>
    <s v="791-85-2268"/>
    <s v="M"/>
    <x v="31"/>
    <m/>
    <s v="Crudgington"/>
    <s v="African American"/>
    <b v="1"/>
    <n v="18"/>
    <s v="Orthopedics"/>
  </r>
  <r>
    <d v="2023-09-09T16:42:30"/>
    <x v="8"/>
    <x v="5"/>
    <x v="7"/>
    <s v="714-35-6722"/>
    <s v="M"/>
    <x v="36"/>
    <m/>
    <s v="Baldetti"/>
    <s v="Asian"/>
    <b v="0"/>
    <n v="22"/>
    <s v="Orthopedics"/>
  </r>
  <r>
    <d v="2023-09-10T06:36:59"/>
    <x v="8"/>
    <x v="0"/>
    <x v="23"/>
    <s v="597-02-5455"/>
    <s v="F"/>
    <x v="22"/>
    <m/>
    <s v="Schleicher"/>
    <s v="African American"/>
    <b v="1"/>
    <n v="30"/>
    <s v="Orthopedics"/>
  </r>
  <r>
    <d v="2023-09-10T12:18:47"/>
    <x v="8"/>
    <x v="0"/>
    <x v="18"/>
    <s v="384-72-1340"/>
    <s v="F"/>
    <x v="31"/>
    <m/>
    <s v="Duester"/>
    <s v="Asian"/>
    <b v="1"/>
    <n v="55"/>
    <s v="Orthopedics"/>
  </r>
  <r>
    <d v="2023-09-10T20:45:26"/>
    <x v="8"/>
    <x v="0"/>
    <x v="8"/>
    <s v="864-61-2647"/>
    <s v="M"/>
    <x v="42"/>
    <n v="5"/>
    <s v="Bonnesen"/>
    <s v="Two or More Races"/>
    <b v="1"/>
    <n v="16"/>
    <s v="Orthopedics"/>
  </r>
  <r>
    <d v="2023-09-12T00:53:26"/>
    <x v="8"/>
    <x v="2"/>
    <x v="21"/>
    <s v="576-52-5777"/>
    <s v="M"/>
    <x v="5"/>
    <m/>
    <s v="Carratt"/>
    <s v="African American"/>
    <b v="1"/>
    <n v="28"/>
    <s v="Orthopedics"/>
  </r>
  <r>
    <d v="2023-09-12T03:16:59"/>
    <x v="8"/>
    <x v="2"/>
    <x v="6"/>
    <s v="181-37-8210"/>
    <s v="M"/>
    <x v="63"/>
    <m/>
    <s v="Lie"/>
    <s v="Declined to Identify"/>
    <b v="1"/>
    <n v="54"/>
    <s v="Orthopedics"/>
  </r>
  <r>
    <d v="2023-09-12T08:50:43"/>
    <x v="8"/>
    <x v="2"/>
    <x v="22"/>
    <s v="723-91-6052"/>
    <s v="F"/>
    <x v="38"/>
    <m/>
    <s v="Alday"/>
    <s v="African American"/>
    <b v="1"/>
    <n v="25"/>
    <s v="Orthopedics"/>
  </r>
  <r>
    <d v="2023-09-16T16:47:38"/>
    <x v="8"/>
    <x v="5"/>
    <x v="7"/>
    <s v="664-02-2390"/>
    <s v="F"/>
    <x v="27"/>
    <n v="5"/>
    <s v="Buddle"/>
    <s v="White"/>
    <b v="0"/>
    <n v="25"/>
    <s v="Orthopedics"/>
  </r>
  <r>
    <d v="2023-09-17T11:51:16"/>
    <x v="8"/>
    <x v="0"/>
    <x v="11"/>
    <s v="696-40-8856"/>
    <s v="M"/>
    <x v="6"/>
    <m/>
    <s v="Blowing"/>
    <s v="African American"/>
    <b v="1"/>
    <n v="27"/>
    <s v="Orthopedics"/>
  </r>
  <r>
    <d v="2023-09-17T16:19:24"/>
    <x v="8"/>
    <x v="0"/>
    <x v="7"/>
    <s v="408-56-0055"/>
    <s v="F"/>
    <x v="11"/>
    <m/>
    <s v="MacMenamin"/>
    <s v="Pacific Islander"/>
    <b v="1"/>
    <n v="14"/>
    <s v="Orthopedics"/>
  </r>
  <r>
    <d v="2023-09-17T16:26:32"/>
    <x v="8"/>
    <x v="0"/>
    <x v="7"/>
    <s v="393-79-0056"/>
    <s v="F"/>
    <x v="76"/>
    <m/>
    <s v="Murkin"/>
    <s v="Declined to Identify"/>
    <b v="1"/>
    <n v="21"/>
    <s v="Orthopedics"/>
  </r>
  <r>
    <d v="2023-09-17T23:03:44"/>
    <x v="8"/>
    <x v="0"/>
    <x v="20"/>
    <s v="222-46-6969"/>
    <s v="M"/>
    <x v="33"/>
    <m/>
    <s v="Livoir"/>
    <s v="Declined to Identify"/>
    <b v="0"/>
    <n v="60"/>
    <s v="Orthopedics"/>
  </r>
  <r>
    <d v="2023-09-18T15:26:27"/>
    <x v="8"/>
    <x v="1"/>
    <x v="12"/>
    <s v="522-11-6573"/>
    <s v="M"/>
    <x v="48"/>
    <m/>
    <s v="Koba"/>
    <s v="White"/>
    <b v="0"/>
    <n v="29"/>
    <s v="Orthopedics"/>
  </r>
  <r>
    <d v="2023-09-18T15:55:20"/>
    <x v="8"/>
    <x v="1"/>
    <x v="12"/>
    <s v="341-41-1657"/>
    <s v="M"/>
    <x v="52"/>
    <n v="5"/>
    <s v="Prettejohns"/>
    <s v="Asian"/>
    <b v="0"/>
    <n v="13"/>
    <s v="Orthopedics"/>
  </r>
  <r>
    <d v="2023-09-18T17:49:13"/>
    <x v="8"/>
    <x v="1"/>
    <x v="1"/>
    <s v="818-26-8196"/>
    <s v="M"/>
    <x v="23"/>
    <n v="8"/>
    <s v="MacNally"/>
    <s v="African American"/>
    <b v="1"/>
    <n v="38"/>
    <s v="Orthopedics"/>
  </r>
  <r>
    <d v="2023-09-19T14:14:06"/>
    <x v="8"/>
    <x v="2"/>
    <x v="2"/>
    <s v="688-49-8033"/>
    <s v="F"/>
    <x v="77"/>
    <m/>
    <s v="Prandin"/>
    <s v="African American"/>
    <b v="1"/>
    <n v="51"/>
    <s v="Orthopedics"/>
  </r>
  <r>
    <d v="2023-09-19T18:34:46"/>
    <x v="8"/>
    <x v="2"/>
    <x v="13"/>
    <s v="274-79-2232"/>
    <s v="F"/>
    <x v="11"/>
    <m/>
    <s v="Murty"/>
    <s v="Pacific Islander"/>
    <b v="0"/>
    <n v="49"/>
    <s v="Orthopedics"/>
  </r>
  <r>
    <d v="2023-09-20T06:12:36"/>
    <x v="8"/>
    <x v="3"/>
    <x v="23"/>
    <s v="317-19-5775"/>
    <s v="M"/>
    <x v="65"/>
    <n v="3"/>
    <s v="Fossett"/>
    <s v="White"/>
    <b v="1"/>
    <n v="32"/>
    <s v="Orthopedics"/>
  </r>
  <r>
    <d v="2023-09-21T02:11:42"/>
    <x v="8"/>
    <x v="4"/>
    <x v="16"/>
    <s v="651-52-1504"/>
    <s v="M"/>
    <x v="31"/>
    <m/>
    <s v="Brockley"/>
    <s v="Pacific Islander"/>
    <b v="0"/>
    <n v="45"/>
    <s v="Orthopedics"/>
  </r>
  <r>
    <d v="2023-09-21T09:29:57"/>
    <x v="8"/>
    <x v="4"/>
    <x v="14"/>
    <s v="139-07-0452"/>
    <s v="M"/>
    <x v="8"/>
    <n v="3"/>
    <s v="McGarva"/>
    <s v="Declined to Identify"/>
    <b v="1"/>
    <n v="57"/>
    <s v="Orthopedics"/>
  </r>
  <r>
    <d v="2023-09-21T21:12:52"/>
    <x v="8"/>
    <x v="4"/>
    <x v="3"/>
    <s v="791-12-6186"/>
    <s v="M"/>
    <x v="78"/>
    <m/>
    <s v="Thomann"/>
    <s v="Asian"/>
    <b v="0"/>
    <n v="22"/>
    <s v="Orthopedics"/>
  </r>
  <r>
    <d v="2023-09-22T09:36:37"/>
    <x v="8"/>
    <x v="6"/>
    <x v="14"/>
    <s v="627-11-7847"/>
    <s v="M"/>
    <x v="0"/>
    <m/>
    <s v="Smithies"/>
    <s v="White"/>
    <b v="1"/>
    <n v="13"/>
    <s v="Orthopedics"/>
  </r>
  <r>
    <d v="2023-09-22T11:05:15"/>
    <x v="8"/>
    <x v="6"/>
    <x v="11"/>
    <s v="372-37-2243"/>
    <s v="M"/>
    <x v="1"/>
    <m/>
    <s v="Berendsen"/>
    <s v="Two or More Races"/>
    <b v="1"/>
    <n v="20"/>
    <s v="Orthopedics"/>
  </r>
  <r>
    <d v="2023-09-23T18:59:00"/>
    <x v="8"/>
    <x v="5"/>
    <x v="13"/>
    <s v="480-22-9841"/>
    <s v="F"/>
    <x v="68"/>
    <m/>
    <s v="Wrefford"/>
    <s v="Declined to Identify"/>
    <b v="0"/>
    <n v="59"/>
    <s v="Orthopedics"/>
  </r>
  <r>
    <d v="2023-09-23T21:45:52"/>
    <x v="8"/>
    <x v="5"/>
    <x v="3"/>
    <s v="214-51-6611"/>
    <s v="M"/>
    <x v="11"/>
    <m/>
    <s v="Rivitt"/>
    <s v="African American"/>
    <b v="1"/>
    <n v="12"/>
    <s v="Orthopedics"/>
  </r>
  <r>
    <d v="2023-09-24T00:53:52"/>
    <x v="8"/>
    <x v="0"/>
    <x v="21"/>
    <s v="551-13-2462"/>
    <s v="M"/>
    <x v="62"/>
    <n v="6"/>
    <s v="Sant"/>
    <s v="African American"/>
    <b v="0"/>
    <n v="28"/>
    <s v="Orthopedics"/>
  </r>
  <r>
    <d v="2023-09-25T21:19:35"/>
    <x v="8"/>
    <x v="1"/>
    <x v="3"/>
    <s v="148-91-1392"/>
    <s v="F"/>
    <x v="58"/>
    <m/>
    <s v="Tumioto"/>
    <s v="Two or More Races"/>
    <b v="1"/>
    <n v="33"/>
    <s v="Orthopedics"/>
  </r>
  <r>
    <d v="2023-09-25T23:55:21"/>
    <x v="8"/>
    <x v="1"/>
    <x v="20"/>
    <s v="314-59-0387"/>
    <s v="M"/>
    <x v="64"/>
    <m/>
    <s v="Dallewater"/>
    <s v="Native American/Alaska Native"/>
    <b v="1"/>
    <n v="52"/>
    <s v="Orthopedics"/>
  </r>
  <r>
    <d v="2023-09-26T01:10:37"/>
    <x v="8"/>
    <x v="2"/>
    <x v="15"/>
    <s v="515-35-7484"/>
    <s v="F"/>
    <x v="66"/>
    <m/>
    <s v="Kensley"/>
    <s v="White"/>
    <b v="0"/>
    <n v="14"/>
    <s v="Orthopedics"/>
  </r>
  <r>
    <d v="2023-09-26T10:01:30"/>
    <x v="8"/>
    <x v="2"/>
    <x v="10"/>
    <s v="496-61-3003"/>
    <s v="M"/>
    <x v="65"/>
    <n v="2"/>
    <s v="Hayter"/>
    <s v="Two or More Races"/>
    <b v="1"/>
    <n v="21"/>
    <s v="Orthopedics"/>
  </r>
  <r>
    <d v="2023-09-28T01:43:49"/>
    <x v="8"/>
    <x v="4"/>
    <x v="15"/>
    <s v="611-43-2271"/>
    <s v="M"/>
    <x v="37"/>
    <m/>
    <s v="Llorente"/>
    <s v="Declined to Identify"/>
    <b v="1"/>
    <n v="27"/>
    <s v="Orthopedics"/>
  </r>
  <r>
    <d v="2023-09-28T16:44:56"/>
    <x v="8"/>
    <x v="4"/>
    <x v="7"/>
    <s v="289-70-6054"/>
    <s v="M"/>
    <x v="16"/>
    <n v="2"/>
    <s v="Edworthie"/>
    <s v="White"/>
    <b v="1"/>
    <n v="22"/>
    <s v="Orthopedics"/>
  </r>
  <r>
    <d v="2023-09-29T04:06:36"/>
    <x v="8"/>
    <x v="6"/>
    <x v="4"/>
    <s v="658-82-9991"/>
    <s v="M"/>
    <x v="63"/>
    <n v="9"/>
    <s v="Roscher"/>
    <s v="Pacific Islander"/>
    <b v="1"/>
    <n v="45"/>
    <s v="Orthopedics"/>
  </r>
  <r>
    <d v="2023-09-30T03:31:44"/>
    <x v="8"/>
    <x v="5"/>
    <x v="6"/>
    <s v="764-69-8400"/>
    <s v="M"/>
    <x v="37"/>
    <n v="2"/>
    <s v="Osorio"/>
    <s v="White"/>
    <b v="0"/>
    <n v="21"/>
    <s v="Orthopedics"/>
  </r>
  <r>
    <d v="2023-09-30T19:55:48"/>
    <x v="8"/>
    <x v="5"/>
    <x v="19"/>
    <s v="122-73-4557"/>
    <s v="F"/>
    <x v="66"/>
    <m/>
    <s v="Godar"/>
    <s v="African American"/>
    <b v="0"/>
    <n v="23"/>
    <s v="Orthopedics"/>
  </r>
  <r>
    <d v="2023-10-01T08:56:08"/>
    <x v="9"/>
    <x v="0"/>
    <x v="22"/>
    <s v="611-71-8999"/>
    <s v="F"/>
    <x v="24"/>
    <m/>
    <s v="Kmietsch"/>
    <s v="Native American/Alaska Native"/>
    <b v="0"/>
    <n v="17"/>
    <s v="Orthopedics"/>
  </r>
  <r>
    <d v="2023-10-02T08:22:44"/>
    <x v="9"/>
    <x v="1"/>
    <x v="22"/>
    <s v="279-74-0305"/>
    <s v="M"/>
    <x v="66"/>
    <n v="8"/>
    <s v="Rotte"/>
    <s v="White"/>
    <b v="1"/>
    <n v="16"/>
    <s v="Orthopedics"/>
  </r>
  <r>
    <d v="2023-10-03T21:50:26"/>
    <x v="9"/>
    <x v="2"/>
    <x v="3"/>
    <s v="795-20-4901"/>
    <s v="F"/>
    <x v="58"/>
    <m/>
    <s v="Glossup"/>
    <s v="White"/>
    <b v="0"/>
    <n v="53"/>
    <s v="Orthopedics"/>
  </r>
  <r>
    <d v="2023-10-03T23:40:31"/>
    <x v="9"/>
    <x v="2"/>
    <x v="20"/>
    <s v="717-51-2915"/>
    <s v="F"/>
    <x v="63"/>
    <m/>
    <s v="Shiels"/>
    <s v="White"/>
    <b v="1"/>
    <n v="32"/>
    <s v="Orthopedics"/>
  </r>
  <r>
    <d v="2023-10-04T02:11:49"/>
    <x v="9"/>
    <x v="3"/>
    <x v="16"/>
    <s v="724-59-7143"/>
    <s v="F"/>
    <x v="17"/>
    <n v="10"/>
    <s v="Trewhella"/>
    <s v="White"/>
    <b v="0"/>
    <n v="31"/>
    <s v="Orthopedics"/>
  </r>
  <r>
    <d v="2023-10-04T03:13:35"/>
    <x v="9"/>
    <x v="3"/>
    <x v="6"/>
    <s v="513-30-4773"/>
    <s v="M"/>
    <x v="49"/>
    <n v="8"/>
    <s v="Andress"/>
    <s v="African American"/>
    <b v="0"/>
    <n v="38"/>
    <s v="Orthopedics"/>
  </r>
  <r>
    <d v="2023-10-04T13:53:02"/>
    <x v="9"/>
    <x v="3"/>
    <x v="0"/>
    <s v="195-26-8178"/>
    <s v="F"/>
    <x v="3"/>
    <m/>
    <s v="Orrett"/>
    <s v="White"/>
    <b v="1"/>
    <n v="27"/>
    <s v="Orthopedics"/>
  </r>
  <r>
    <d v="2023-10-04T17:06:16"/>
    <x v="9"/>
    <x v="3"/>
    <x v="1"/>
    <s v="545-22-1531"/>
    <s v="F"/>
    <x v="57"/>
    <m/>
    <s v="Budnk"/>
    <s v="White"/>
    <b v="1"/>
    <n v="22"/>
    <s v="Orthopedics"/>
  </r>
  <r>
    <d v="2023-10-05T14:35:04"/>
    <x v="9"/>
    <x v="4"/>
    <x v="2"/>
    <s v="729-35-9748"/>
    <s v="F"/>
    <x v="25"/>
    <m/>
    <s v="McCanny"/>
    <s v="White"/>
    <b v="1"/>
    <n v="44"/>
    <s v="Orthopedics"/>
  </r>
  <r>
    <d v="2023-10-07T01:24:25"/>
    <x v="9"/>
    <x v="5"/>
    <x v="15"/>
    <s v="552-17-8075"/>
    <s v="M"/>
    <x v="31"/>
    <m/>
    <s v="Threlkeld"/>
    <s v="Two or More Races"/>
    <b v="0"/>
    <n v="35"/>
    <s v="Orthopedics"/>
  </r>
  <r>
    <d v="2023-10-07T08:06:44"/>
    <x v="9"/>
    <x v="5"/>
    <x v="22"/>
    <s v="142-78-7156"/>
    <s v="M"/>
    <x v="31"/>
    <m/>
    <s v="Peller"/>
    <s v="White"/>
    <b v="0"/>
    <n v="36"/>
    <s v="Orthopedics"/>
  </r>
  <r>
    <d v="2023-10-08T22:18:49"/>
    <x v="9"/>
    <x v="0"/>
    <x v="9"/>
    <s v="801-75-4801"/>
    <s v="F"/>
    <x v="59"/>
    <m/>
    <s v="McShee"/>
    <s v="African American"/>
    <b v="0"/>
    <n v="35"/>
    <s v="Orthopedics"/>
  </r>
  <r>
    <d v="2023-10-09T00:44:14"/>
    <x v="9"/>
    <x v="1"/>
    <x v="21"/>
    <s v="698-20-8468"/>
    <s v="F"/>
    <x v="72"/>
    <m/>
    <s v="Bohlsen"/>
    <s v="African American"/>
    <b v="0"/>
    <n v="33"/>
    <s v="Orthopedics"/>
  </r>
  <r>
    <d v="2023-10-09T01:38:35"/>
    <x v="9"/>
    <x v="1"/>
    <x v="15"/>
    <s v="590-94-5630"/>
    <s v="F"/>
    <x v="10"/>
    <m/>
    <s v="Klementz"/>
    <s v="Asian"/>
    <b v="0"/>
    <n v="26"/>
    <s v="Orthopedics"/>
  </r>
  <r>
    <d v="2023-10-09T02:46:25"/>
    <x v="9"/>
    <x v="1"/>
    <x v="16"/>
    <s v="589-07-2378"/>
    <s v="F"/>
    <x v="43"/>
    <m/>
    <s v="Lindores"/>
    <s v="Two or More Races"/>
    <b v="0"/>
    <n v="54"/>
    <s v="Orthopedics"/>
  </r>
  <r>
    <d v="2023-10-09T07:54:24"/>
    <x v="9"/>
    <x v="1"/>
    <x v="17"/>
    <s v="769-26-7401"/>
    <s v="M"/>
    <x v="76"/>
    <m/>
    <s v="Blackstock"/>
    <s v="African American"/>
    <b v="0"/>
    <n v="51"/>
    <s v="Orthopedics"/>
  </r>
  <r>
    <d v="2023-10-11T08:23:15"/>
    <x v="9"/>
    <x v="3"/>
    <x v="22"/>
    <s v="385-79-2506"/>
    <s v="M"/>
    <x v="40"/>
    <n v="10"/>
    <s v="Haile"/>
    <s v="White"/>
    <b v="0"/>
    <n v="15"/>
    <s v="Orthopedics"/>
  </r>
  <r>
    <d v="2023-10-11T09:50:48"/>
    <x v="9"/>
    <x v="3"/>
    <x v="14"/>
    <s v="602-47-8260"/>
    <s v="M"/>
    <x v="32"/>
    <m/>
    <s v="Emloch"/>
    <s v="African American"/>
    <b v="0"/>
    <n v="38"/>
    <s v="Orthopedics"/>
  </r>
  <r>
    <d v="2023-10-11T12:33:33"/>
    <x v="9"/>
    <x v="3"/>
    <x v="18"/>
    <s v="887-69-1907"/>
    <s v="F"/>
    <x v="42"/>
    <m/>
    <s v="Dowker"/>
    <s v="Asian"/>
    <b v="1"/>
    <n v="27"/>
    <s v="Orthopedics"/>
  </r>
  <r>
    <d v="2023-10-11T18:53:42"/>
    <x v="9"/>
    <x v="3"/>
    <x v="13"/>
    <s v="631-01-2994"/>
    <s v="M"/>
    <x v="58"/>
    <m/>
    <s v="Guinan"/>
    <s v="White"/>
    <b v="1"/>
    <n v="20"/>
    <s v="Orthopedics"/>
  </r>
  <r>
    <d v="2023-10-12T10:39:23"/>
    <x v="9"/>
    <x v="4"/>
    <x v="10"/>
    <s v="437-30-1210"/>
    <s v="M"/>
    <x v="67"/>
    <m/>
    <s v="Derle"/>
    <s v="White"/>
    <b v="0"/>
    <n v="12"/>
    <s v="Orthopedics"/>
  </r>
  <r>
    <d v="2023-10-12T12:53:18"/>
    <x v="9"/>
    <x v="4"/>
    <x v="18"/>
    <s v="267-77-7081"/>
    <s v="F"/>
    <x v="18"/>
    <n v="3"/>
    <s v="Heavy"/>
    <s v="Asian"/>
    <b v="1"/>
    <n v="38"/>
    <s v="Orthopedics"/>
  </r>
  <r>
    <d v="2023-10-12T16:16:39"/>
    <x v="9"/>
    <x v="4"/>
    <x v="7"/>
    <s v="796-98-4459"/>
    <s v="F"/>
    <x v="78"/>
    <m/>
    <s v="Outram"/>
    <s v="African American"/>
    <b v="1"/>
    <n v="60"/>
    <s v="Orthopedics"/>
  </r>
  <r>
    <d v="2023-10-13T02:23:17"/>
    <x v="9"/>
    <x v="6"/>
    <x v="16"/>
    <s v="204-51-5061"/>
    <s v="F"/>
    <x v="15"/>
    <n v="2"/>
    <s v="Thys"/>
    <s v="Native American/Alaska Native"/>
    <b v="0"/>
    <n v="50"/>
    <s v="Orthopedics"/>
  </r>
  <r>
    <d v="2023-10-15T13:34:08"/>
    <x v="9"/>
    <x v="0"/>
    <x v="0"/>
    <s v="829-92-4746"/>
    <s v="M"/>
    <x v="55"/>
    <n v="5"/>
    <s v="Cratchley"/>
    <s v="African American"/>
    <b v="1"/>
    <n v="53"/>
    <s v="Orthopedics"/>
  </r>
  <r>
    <d v="2023-10-16T01:28:48"/>
    <x v="9"/>
    <x v="1"/>
    <x v="15"/>
    <s v="390-95-2404"/>
    <s v="M"/>
    <x v="33"/>
    <m/>
    <s v="Gabe"/>
    <s v="Declined to Identify"/>
    <b v="0"/>
    <n v="46"/>
    <s v="Orthopedics"/>
  </r>
  <r>
    <d v="2023-10-16T23:01:38"/>
    <x v="9"/>
    <x v="1"/>
    <x v="20"/>
    <s v="335-70-9921"/>
    <s v="F"/>
    <x v="52"/>
    <m/>
    <s v="Quinby"/>
    <s v="White"/>
    <b v="0"/>
    <n v="56"/>
    <s v="Orthopedics"/>
  </r>
  <r>
    <d v="2023-10-17T20:55:04"/>
    <x v="9"/>
    <x v="2"/>
    <x v="8"/>
    <s v="341-94-2072"/>
    <s v="M"/>
    <x v="33"/>
    <n v="2"/>
    <s v="Fashion"/>
    <s v="Pacific Islander"/>
    <b v="0"/>
    <n v="30"/>
    <s v="Orthopedics"/>
  </r>
  <r>
    <d v="2023-10-18T00:08:56"/>
    <x v="9"/>
    <x v="3"/>
    <x v="21"/>
    <s v="279-67-2224"/>
    <s v="M"/>
    <x v="20"/>
    <n v="4"/>
    <s v="Gainsboro"/>
    <s v="White"/>
    <b v="1"/>
    <n v="14"/>
    <s v="Orthopedics"/>
  </r>
  <r>
    <d v="2023-10-20T12:24:47"/>
    <x v="9"/>
    <x v="6"/>
    <x v="18"/>
    <s v="401-65-8779"/>
    <s v="M"/>
    <x v="53"/>
    <m/>
    <s v="Timms"/>
    <s v="White"/>
    <b v="1"/>
    <n v="21"/>
    <s v="Orthopedics"/>
  </r>
  <r>
    <d v="2023-10-20T15:20:15"/>
    <x v="9"/>
    <x v="6"/>
    <x v="12"/>
    <s v="866-67-5375"/>
    <s v="M"/>
    <x v="6"/>
    <n v="1"/>
    <s v="Duffield"/>
    <s v="White"/>
    <b v="1"/>
    <n v="58"/>
    <s v="Orthopedics"/>
  </r>
  <r>
    <d v="2023-10-21T11:48:03"/>
    <x v="9"/>
    <x v="5"/>
    <x v="11"/>
    <s v="731-75-7101"/>
    <s v="F"/>
    <x v="15"/>
    <m/>
    <s v="Simkovitz"/>
    <s v="African American"/>
    <b v="1"/>
    <n v="30"/>
    <s v="Orthopedics"/>
  </r>
  <r>
    <d v="2023-10-21T12:05:54"/>
    <x v="9"/>
    <x v="5"/>
    <x v="18"/>
    <s v="520-32-2321"/>
    <s v="F"/>
    <x v="42"/>
    <n v="4"/>
    <s v="Antrack"/>
    <s v="Two or More Races"/>
    <b v="0"/>
    <n v="13"/>
    <s v="Orthopedics"/>
  </r>
  <r>
    <d v="2023-10-21T19:51:36"/>
    <x v="9"/>
    <x v="5"/>
    <x v="19"/>
    <s v="229-27-7861"/>
    <s v="M"/>
    <x v="5"/>
    <n v="7"/>
    <s v="Attwater"/>
    <s v="White"/>
    <b v="1"/>
    <n v="10"/>
    <s v="Orthopedics"/>
  </r>
  <r>
    <d v="2023-10-21T19:52:22"/>
    <x v="9"/>
    <x v="5"/>
    <x v="19"/>
    <s v="675-74-4830"/>
    <s v="F"/>
    <x v="76"/>
    <m/>
    <s v="MacCosto"/>
    <s v="Two or More Races"/>
    <b v="0"/>
    <n v="53"/>
    <s v="Orthopedics"/>
  </r>
  <r>
    <d v="2023-10-22T04:32:34"/>
    <x v="9"/>
    <x v="0"/>
    <x v="4"/>
    <s v="124-36-9054"/>
    <s v="F"/>
    <x v="45"/>
    <m/>
    <s v="Le Clercq"/>
    <s v="African American"/>
    <b v="0"/>
    <n v="38"/>
    <s v="Orthopedics"/>
  </r>
  <r>
    <d v="2023-10-22T09:59:33"/>
    <x v="9"/>
    <x v="0"/>
    <x v="14"/>
    <s v="425-90-5163"/>
    <s v="M"/>
    <x v="13"/>
    <n v="7"/>
    <s v="Hawtrey"/>
    <s v="White"/>
    <b v="0"/>
    <n v="37"/>
    <s v="Orthopedics"/>
  </r>
  <r>
    <d v="2023-10-22T15:41:23"/>
    <x v="9"/>
    <x v="0"/>
    <x v="12"/>
    <s v="544-20-1544"/>
    <s v="M"/>
    <x v="36"/>
    <m/>
    <s v="Leyrroyd"/>
    <s v="White"/>
    <b v="1"/>
    <n v="17"/>
    <s v="Orthopedics"/>
  </r>
  <r>
    <d v="2023-10-22T17:21:22"/>
    <x v="9"/>
    <x v="0"/>
    <x v="1"/>
    <s v="878-59-3101"/>
    <s v="F"/>
    <x v="59"/>
    <n v="1"/>
    <s v="Lawful"/>
    <s v="African American"/>
    <b v="1"/>
    <n v="39"/>
    <s v="Orthopedics"/>
  </r>
  <r>
    <d v="2023-10-24T06:16:14"/>
    <x v="9"/>
    <x v="2"/>
    <x v="23"/>
    <s v="491-79-2938"/>
    <s v="F"/>
    <x v="31"/>
    <m/>
    <s v="Courage"/>
    <s v="White"/>
    <b v="0"/>
    <n v="30"/>
    <s v="Orthopedics"/>
  </r>
  <r>
    <d v="2023-10-24T07:25:31"/>
    <x v="9"/>
    <x v="2"/>
    <x v="17"/>
    <s v="713-55-4167"/>
    <s v="F"/>
    <x v="32"/>
    <m/>
    <s v="Somerscales"/>
    <s v="White"/>
    <b v="0"/>
    <n v="23"/>
    <s v="Orthopedics"/>
  </r>
  <r>
    <d v="2023-10-25T19:27:15"/>
    <x v="9"/>
    <x v="3"/>
    <x v="19"/>
    <s v="801-66-2184"/>
    <s v="M"/>
    <x v="60"/>
    <m/>
    <s v="Hearon"/>
    <s v="White"/>
    <b v="0"/>
    <n v="17"/>
    <s v="Orthopedics"/>
  </r>
  <r>
    <d v="2023-10-26T05:28:06"/>
    <x v="9"/>
    <x v="4"/>
    <x v="5"/>
    <s v="537-09-7772"/>
    <s v="F"/>
    <x v="34"/>
    <m/>
    <s v="Mallia"/>
    <s v="White"/>
    <b v="1"/>
    <n v="33"/>
    <s v="Orthopedics"/>
  </r>
  <r>
    <d v="2023-10-26T16:02:23"/>
    <x v="9"/>
    <x v="4"/>
    <x v="7"/>
    <s v="463-91-4655"/>
    <s v="M"/>
    <x v="56"/>
    <m/>
    <s v="Oxtaby"/>
    <s v="African American"/>
    <b v="1"/>
    <n v="16"/>
    <s v="Orthopedics"/>
  </r>
  <r>
    <d v="2023-10-26T16:09:16"/>
    <x v="9"/>
    <x v="4"/>
    <x v="7"/>
    <s v="284-78-4415"/>
    <s v="M"/>
    <x v="4"/>
    <m/>
    <s v="Creeghan"/>
    <s v="Declined to Identify"/>
    <b v="1"/>
    <n v="15"/>
    <s v="Orthopedics"/>
  </r>
  <r>
    <d v="2023-10-27T00:20:44"/>
    <x v="9"/>
    <x v="6"/>
    <x v="21"/>
    <s v="426-82-0991"/>
    <s v="F"/>
    <x v="63"/>
    <n v="10"/>
    <s v="Quartermain"/>
    <s v="White"/>
    <b v="1"/>
    <n v="31"/>
    <s v="Orthopedics"/>
  </r>
  <r>
    <d v="2023-10-27T17:08:28"/>
    <x v="9"/>
    <x v="6"/>
    <x v="1"/>
    <s v="382-83-8347"/>
    <s v="M"/>
    <x v="53"/>
    <m/>
    <s v="Grenshields"/>
    <s v="African American"/>
    <b v="1"/>
    <n v="14"/>
    <s v="Orthopedics"/>
  </r>
  <r>
    <d v="2023-10-27T17:26:00"/>
    <x v="9"/>
    <x v="6"/>
    <x v="1"/>
    <s v="562-51-1610"/>
    <s v="M"/>
    <x v="17"/>
    <m/>
    <s v="Coats"/>
    <s v="Declined to Identify"/>
    <b v="1"/>
    <n v="57"/>
    <s v="Orthopedics"/>
  </r>
  <r>
    <d v="2023-10-28T02:40:17"/>
    <x v="9"/>
    <x v="5"/>
    <x v="16"/>
    <s v="558-19-1783"/>
    <s v="M"/>
    <x v="75"/>
    <m/>
    <s v="Garaghan"/>
    <s v="African American"/>
    <b v="1"/>
    <n v="27"/>
    <s v="Orthopedics"/>
  </r>
  <r>
    <d v="2023-10-28T08:29:52"/>
    <x v="9"/>
    <x v="5"/>
    <x v="22"/>
    <s v="683-71-6277"/>
    <s v="M"/>
    <x v="58"/>
    <n v="7"/>
    <s v="Batistelli"/>
    <s v="White"/>
    <b v="1"/>
    <n v="43"/>
    <s v="Orthopedics"/>
  </r>
  <r>
    <d v="2023-10-28T21:50:10"/>
    <x v="9"/>
    <x v="5"/>
    <x v="3"/>
    <s v="141-16-6774"/>
    <s v="M"/>
    <x v="71"/>
    <m/>
    <s v="Bakewell"/>
    <s v="Pacific Islander"/>
    <b v="0"/>
    <n v="18"/>
    <s v="Orthopedics"/>
  </r>
  <r>
    <d v="2023-10-29T18:40:55"/>
    <x v="9"/>
    <x v="0"/>
    <x v="13"/>
    <s v="213-73-5378"/>
    <s v="M"/>
    <x v="6"/>
    <m/>
    <s v="Strangeway"/>
    <s v="Asian"/>
    <b v="0"/>
    <n v="43"/>
    <s v="Orthopedics"/>
  </r>
  <r>
    <d v="2023-10-30T00:29:42"/>
    <x v="9"/>
    <x v="1"/>
    <x v="21"/>
    <s v="331-79-8648"/>
    <s v="F"/>
    <x v="28"/>
    <m/>
    <s v="Ayerst"/>
    <s v="Native American/Alaska Native"/>
    <b v="1"/>
    <n v="47"/>
    <s v="Orthopedics"/>
  </r>
  <r>
    <d v="2023-10-30T02:12:53"/>
    <x v="9"/>
    <x v="1"/>
    <x v="16"/>
    <s v="628-46-3223"/>
    <s v="F"/>
    <x v="12"/>
    <n v="5"/>
    <s v="Wardle"/>
    <s v="Two or More Races"/>
    <b v="1"/>
    <n v="45"/>
    <s v="Orthopedic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5A8687-9578-4E33-BAF7-79A5FC5DD0ED}" name="PivotTable8" cacheId="89" applyNumberFormats="0" applyBorderFormats="0" applyFontFormats="0" applyPatternFormats="0" applyAlignmentFormats="0" applyWidthHeightFormats="1" dataCaption="Values" missingCaption="N/A" updatedVersion="8" minRefreshableVersion="3" useAutoFormatting="1" itemPrintTitles="1" createdVersion="8" indent="0" outline="1" outlineData="1" multipleFieldFilters="0" rowHeaderCaption="Months">
  <location ref="I18:K29" firstHeaderRow="0" firstDataRow="1" firstDataCol="1"/>
  <pivotFields count="14">
    <pivotField numFmtId="22" showAll="0"/>
    <pivotField axis="axisRow" showAll="0">
      <items count="11">
        <item x="0"/>
        <item x="1"/>
        <item x="2"/>
        <item x="3"/>
        <item x="4"/>
        <item x="5"/>
        <item x="6"/>
        <item x="7"/>
        <item x="8"/>
        <item x="9"/>
        <item t="default"/>
      </items>
    </pivotField>
    <pivotField showAll="0">
      <items count="8">
        <item x="0"/>
        <item x="1"/>
        <item x="2"/>
        <item x="3"/>
        <item x="4"/>
        <item x="6"/>
        <item x="5"/>
        <item t="default"/>
      </items>
    </pivotField>
    <pivotField numFmtId="166" showAll="0">
      <items count="25">
        <item x="21"/>
        <item x="15"/>
        <item x="16"/>
        <item x="6"/>
        <item x="4"/>
        <item x="5"/>
        <item x="23"/>
        <item x="17"/>
        <item x="22"/>
        <item x="14"/>
        <item x="10"/>
        <item x="11"/>
        <item x="18"/>
        <item x="0"/>
        <item x="2"/>
        <item x="12"/>
        <item x="7"/>
        <item x="1"/>
        <item x="13"/>
        <item x="19"/>
        <item x="8"/>
        <item x="3"/>
        <item x="9"/>
        <item x="20"/>
        <item t="default"/>
      </items>
    </pivotField>
    <pivotField dataField="1" showAll="0"/>
    <pivotField showAll="0"/>
    <pivotField showAll="0"/>
    <pivotField dataField="1"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Avg PSAT Score" fld="7" subtotal="average" baseField="1" baseItem="0" numFmtId="173"/>
    <dataField name="# of Patients" fld="4" subtotal="count" baseField="1" baseItem="0"/>
  </dataFields>
  <formats count="17">
    <format dxfId="6">
      <pivotArea outline="0" collapsedLevelsAreSubtotals="1" fieldPosition="0">
        <references count="1">
          <reference field="4294967294" count="1" selected="0">
            <x v="0"/>
          </reference>
        </references>
      </pivotArea>
    </format>
    <format dxfId="7">
      <pivotArea dataOnly="0" labelOnly="1" outline="0" fieldPosition="0">
        <references count="1">
          <reference field="4294967294" count="1">
            <x v="0"/>
          </reference>
        </references>
      </pivotArea>
    </format>
    <format dxfId="8">
      <pivotArea outline="0" collapsedLevelsAreSubtotals="1" fieldPosition="0"/>
    </format>
    <format dxfId="9">
      <pivotArea dataOnly="0" labelOnly="1" outline="0" fieldPosition="0">
        <references count="1">
          <reference field="4294967294" count="2">
            <x v="0"/>
            <x v="1"/>
          </reference>
        </references>
      </pivotArea>
    </format>
    <format dxfId="10">
      <pivotArea outline="0" collapsedLevelsAreSubtotals="1" fieldPosition="0"/>
    </format>
    <format dxfId="11">
      <pivotArea dataOnly="0" labelOnly="1" outline="0" fieldPosition="0">
        <references count="1">
          <reference field="4294967294" count="2">
            <x v="0"/>
            <x v="1"/>
          </reference>
        </references>
      </pivotArea>
    </format>
    <format dxfId="12">
      <pivotArea dataOnly="0" fieldPosition="0">
        <references count="1">
          <reference field="1" count="0"/>
        </references>
      </pivotArea>
    </format>
    <format dxfId="13">
      <pivotArea collapsedLevelsAreSubtotals="1" fieldPosition="0">
        <references count="1">
          <reference field="1" count="0"/>
        </references>
      </pivotArea>
    </format>
    <format dxfId="14">
      <pivotArea dataOnly="0" labelOnly="1" fieldPosition="0">
        <references count="1">
          <reference field="1" count="0"/>
        </references>
      </pivotArea>
    </format>
    <format dxfId="15">
      <pivotArea collapsedLevelsAreSubtotals="1" fieldPosition="0">
        <references count="1">
          <reference field="1" count="0"/>
        </references>
      </pivotArea>
    </format>
    <format dxfId="16">
      <pivotArea dataOnly="0" labelOnly="1" fieldPosition="0">
        <references count="1">
          <reference field="1" count="0"/>
        </references>
      </pivotArea>
    </format>
    <format dxfId="17">
      <pivotArea collapsedLevelsAreSubtotals="1" fieldPosition="0">
        <references count="1">
          <reference field="1" count="0"/>
        </references>
      </pivotArea>
    </format>
    <format dxfId="18">
      <pivotArea dataOnly="0" labelOnly="1" fieldPosition="0">
        <references count="1">
          <reference field="1" count="0"/>
        </references>
      </pivotArea>
    </format>
    <format dxfId="19">
      <pivotArea collapsedLevelsAreSubtotals="1" fieldPosition="0">
        <references count="1">
          <reference field="1" count="2">
            <x v="0"/>
            <x v="1"/>
          </reference>
        </references>
      </pivotArea>
    </format>
    <format dxfId="20">
      <pivotArea field="1" type="button" dataOnly="0" labelOnly="1" outline="0" axis="axisRow" fieldPosition="0"/>
    </format>
    <format dxfId="21">
      <pivotArea dataOnly="0" labelOnly="1" fieldPosition="0">
        <references count="1">
          <reference field="1" count="2">
            <x v="0"/>
            <x v="1"/>
          </reference>
        </references>
      </pivotArea>
    </format>
    <format dxfId="22">
      <pivotArea dataOnly="0" labelOnly="1" outline="0" fieldPosition="0">
        <references count="1">
          <reference field="4294967294" count="2">
            <x v="0"/>
            <x v="1"/>
          </reference>
        </references>
      </pivotArea>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FE1555-E6D3-4D4B-9160-E5C86FECF44F}" name="KPIs"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E6" firstHeaderRow="0" firstDataRow="1" firstDataCol="0" rowPageCount="2" colPageCount="1"/>
  <pivotFields count="14">
    <pivotField numFmtId="22" showAll="0"/>
    <pivotField axis="axisPage" showAll="0">
      <items count="11">
        <item x="0"/>
        <item x="1"/>
        <item x="2"/>
        <item x="3"/>
        <item x="4"/>
        <item x="5"/>
        <item x="6"/>
        <item x="7"/>
        <item x="8"/>
        <item x="9"/>
        <item t="default"/>
      </items>
    </pivotField>
    <pivotField axis="axisPage" multipleItemSelectionAllowed="1" showAll="0">
      <items count="8">
        <item x="0"/>
        <item x="1"/>
        <item x="2"/>
        <item x="3"/>
        <item x="4"/>
        <item x="6"/>
        <item x="5"/>
        <item t="default"/>
      </items>
    </pivotField>
    <pivotField numFmtId="166" showAll="0">
      <items count="25">
        <item x="21"/>
        <item x="15"/>
        <item x="16"/>
        <item x="6"/>
        <item x="4"/>
        <item x="5"/>
        <item x="23"/>
        <item x="17"/>
        <item x="22"/>
        <item x="14"/>
        <item x="10"/>
        <item x="11"/>
        <item x="18"/>
        <item x="0"/>
        <item x="2"/>
        <item x="12"/>
        <item x="7"/>
        <item x="1"/>
        <item x="13"/>
        <item x="19"/>
        <item x="8"/>
        <item x="3"/>
        <item x="9"/>
        <item x="20"/>
        <item t="default"/>
      </items>
    </pivotField>
    <pivotField dataField="1" showAll="0"/>
    <pivotField showAll="0"/>
    <pivotField showAll="0"/>
    <pivotField dataField="1" showAll="0"/>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Fields count="1">
    <field x="-2"/>
  </colFields>
  <colItems count="3">
    <i>
      <x/>
    </i>
    <i i="1">
      <x v="1"/>
    </i>
    <i i="2">
      <x v="2"/>
    </i>
  </colItems>
  <pageFields count="2">
    <pageField fld="1" hier="-1"/>
    <pageField fld="2" hier="-1"/>
  </pageFields>
  <dataFields count="3">
    <dataField name="Count of patient_id" fld="4" subtotal="count" baseField="0" baseItem="0"/>
    <dataField name="Average of patient_sat_score" fld="7" subtotal="average" baseField="0" baseItem="2" numFmtId="173"/>
    <dataField name="Average of patient_waittime" fld="11" subtotal="average" baseField="0" baseItem="2" numFmtId="1"/>
  </dataFields>
  <formats count="2">
    <format dxfId="2">
      <pivotArea outline="0" collapsedLevelsAreSubtotals="1" fieldPosition="0">
        <references count="1">
          <reference field="4294967294" count="1" selected="0">
            <x v="1"/>
          </reference>
        </references>
      </pivotArea>
    </format>
    <format dxfId="3">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1D6660-22A1-4A46-97AA-DCE328087F90}" name="CSAT Score By Month"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E16" firstHeaderRow="0" firstDataRow="1" firstDataCol="1"/>
  <pivotFields count="14">
    <pivotField numFmtId="22" showAll="0"/>
    <pivotField axis="axisRow" showAll="0">
      <items count="11">
        <item x="0"/>
        <item x="1"/>
        <item x="2"/>
        <item x="3"/>
        <item x="4"/>
        <item x="5"/>
        <item x="6"/>
        <item x="7"/>
        <item x="8"/>
        <item x="9"/>
        <item t="default"/>
      </items>
    </pivotField>
    <pivotField showAll="0">
      <items count="8">
        <item x="0"/>
        <item x="1"/>
        <item x="2"/>
        <item x="3"/>
        <item x="4"/>
        <item x="6"/>
        <item x="5"/>
        <item t="default"/>
      </items>
    </pivotField>
    <pivotField numFmtId="166" showAll="0">
      <items count="25">
        <item x="21"/>
        <item x="15"/>
        <item x="16"/>
        <item x="6"/>
        <item x="4"/>
        <item x="5"/>
        <item x="23"/>
        <item x="17"/>
        <item x="22"/>
        <item x="14"/>
        <item x="10"/>
        <item x="11"/>
        <item x="18"/>
        <item x="0"/>
        <item x="2"/>
        <item x="12"/>
        <item x="7"/>
        <item x="1"/>
        <item x="13"/>
        <item x="19"/>
        <item x="8"/>
        <item x="3"/>
        <item x="9"/>
        <item x="20"/>
        <item t="default"/>
      </items>
    </pivotField>
    <pivotField dataField="1" showAll="0"/>
    <pivotField showAll="0"/>
    <pivotField showAll="0"/>
    <pivotField dataField="1"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Average of patient_sat_score" fld="7" subtotal="average" baseField="1" baseItem="0" numFmtId="173"/>
    <dataField name="Count of patient_id" fld="4" subtotal="count" baseField="0" baseItem="0"/>
  </dataFields>
  <formats count="2">
    <format dxfId="4">
      <pivotArea outline="0" collapsedLevelsAreSubtotals="1" fieldPosition="0">
        <references count="1">
          <reference field="4294967294" count="1" selected="0">
            <x v="0"/>
          </reference>
        </references>
      </pivotArea>
    </format>
    <format dxfId="5">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2758D5-5141-4EA4-B647-A7B99FF31F49}" name="Age Bracket"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5:D14" firstHeaderRow="1" firstDataRow="1" firstDataCol="1"/>
  <pivotFields count="14">
    <pivotField numFmtId="22" showAll="0"/>
    <pivotField showAll="0">
      <items count="11">
        <item x="0"/>
        <item x="1"/>
        <item x="2"/>
        <item x="3"/>
        <item x="4"/>
        <item x="5"/>
        <item x="6"/>
        <item x="7"/>
        <item x="8"/>
        <item x="9"/>
        <item t="default"/>
      </items>
    </pivotField>
    <pivotField showAll="0">
      <items count="8">
        <item x="0"/>
        <item x="1"/>
        <item x="2"/>
        <item x="3"/>
        <item x="4"/>
        <item x="6"/>
        <item x="5"/>
        <item t="default"/>
      </items>
    </pivotField>
    <pivotField numFmtId="166" showAll="0">
      <items count="25">
        <item x="21"/>
        <item x="15"/>
        <item x="16"/>
        <item x="6"/>
        <item x="4"/>
        <item x="5"/>
        <item x="23"/>
        <item x="17"/>
        <item x="22"/>
        <item x="14"/>
        <item x="10"/>
        <item x="11"/>
        <item x="18"/>
        <item x="0"/>
        <item x="2"/>
        <item x="12"/>
        <item x="7"/>
        <item x="1"/>
        <item x="13"/>
        <item x="19"/>
        <item x="8"/>
        <item x="3"/>
        <item x="9"/>
        <item x="20"/>
        <item t="default"/>
      </items>
    </pivotField>
    <pivotField dataField="1"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6"/>
  </rowFields>
  <rowItems count="9">
    <i>
      <x v="1"/>
    </i>
    <i>
      <x v="2"/>
    </i>
    <i>
      <x v="3"/>
    </i>
    <i>
      <x v="4"/>
    </i>
    <i>
      <x v="5"/>
    </i>
    <i>
      <x v="6"/>
    </i>
    <i>
      <x v="7"/>
    </i>
    <i>
      <x v="8"/>
    </i>
    <i t="grand">
      <x/>
    </i>
  </rowItems>
  <colItems count="1">
    <i/>
  </colItems>
  <dataFields count="1">
    <dataField name="Count of patient_id" fld="4"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053662-6BC8-4421-BA92-011B8B3F5663}" name="Wait Time"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C5:E30" firstHeaderRow="0" firstDataRow="1" firstDataCol="1"/>
  <pivotFields count="14">
    <pivotField numFmtId="22" showAll="0"/>
    <pivotField showAll="0">
      <items count="11">
        <item x="0"/>
        <item x="1"/>
        <item x="2"/>
        <item x="3"/>
        <item x="4"/>
        <item x="5"/>
        <item x="6"/>
        <item x="7"/>
        <item x="8"/>
        <item x="9"/>
        <item t="default"/>
      </items>
    </pivotField>
    <pivotField showAll="0">
      <items count="8">
        <item x="0"/>
        <item x="1"/>
        <item x="2"/>
        <item x="3"/>
        <item x="4"/>
        <item x="6"/>
        <item x="5"/>
        <item t="default"/>
      </items>
    </pivotField>
    <pivotField axis="axisRow" numFmtId="166" showAll="0">
      <items count="25">
        <item x="21"/>
        <item x="15"/>
        <item x="16"/>
        <item x="6"/>
        <item x="4"/>
        <item x="5"/>
        <item x="23"/>
        <item x="17"/>
        <item x="22"/>
        <item x="14"/>
        <item x="10"/>
        <item x="11"/>
        <item x="18"/>
        <item x="0"/>
        <item x="2"/>
        <item x="12"/>
        <item x="7"/>
        <item x="1"/>
        <item x="13"/>
        <item x="19"/>
        <item x="8"/>
        <item x="3"/>
        <item x="9"/>
        <item x="20"/>
        <item t="default"/>
      </items>
    </pivotField>
    <pivotField dataField="1" showAll="0"/>
    <pivotField showAll="0"/>
    <pivotField showAll="0"/>
    <pivotField showAll="0"/>
    <pivotField showAll="0"/>
    <pivotField showAll="0"/>
    <pivotField showAll="0"/>
    <pivotField dataField="1" showAll="0"/>
    <pivotField showAll="0"/>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Wait Time" fld="11" subtotal="average" baseField="3" baseItem="0" numFmtId="1"/>
    <dataField name="Patients" fld="4" subtotal="count" baseField="3" baseItem="0"/>
  </dataFields>
  <formats count="2">
    <format dxfId="0">
      <pivotArea dataOnly="0" labelOnly="1" fieldPosition="0">
        <references count="1">
          <reference field="3" count="0"/>
        </references>
      </pivotArea>
    </format>
    <format dxfId="1">
      <pivotArea outline="0" collapsedLevelsAreSubtotals="1" fieldPosition="0">
        <references count="1">
          <reference field="4294967294" count="1" selected="0">
            <x v="0"/>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the_week" xr10:uid="{B941367D-27FC-4EAF-ADB0-24AB51A9783A}" sourceName="day_of_the_week">
  <pivotTables>
    <pivotTable tabId="3" name="PivotTable8"/>
    <pivotTable tabId="6" name="Age Bracket"/>
    <pivotTable tabId="5" name="CSAT Score By Month"/>
    <pivotTable tabId="4" name="KPIs"/>
    <pivotTable tabId="7" name="Wait Time"/>
  </pivotTables>
  <data>
    <tabular pivotCacheId="1574148855">
      <items count="7">
        <i x="0" s="1"/>
        <i x="1" s="1"/>
        <i x="2" s="1"/>
        <i x="3" s="1"/>
        <i x="4"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B8A36E4-5AC5-4FAC-B40A-C39D9FD30632}" sourceName="month">
  <pivotTables>
    <pivotTable tabId="6" name="Age Bracket"/>
    <pivotTable tabId="5" name="CSAT Score By Month"/>
    <pivotTable tabId="4" name="KPIs"/>
    <pivotTable tabId="7" name="Wait Time"/>
  </pivotTables>
  <data>
    <tabular pivotCacheId="1574148855">
      <items count="10">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_of_the_week" xr10:uid="{9FF2C960-D17D-458C-8DDA-499074E01915}" cache="Slicer_day_of_the_week" caption="Day of the Week" style="Orthopedic Slicer" rowHeight="274320"/>
  <slicer name="month" xr10:uid="{27227BEF-9CB8-4CF6-8288-70979D07A7CF}" cache="Slicer_month" caption="Month" style="Orthopedic Slice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006BA1-E1CD-447D-91ED-D16FEC6573B3}" name="Orthopedics" displayName="Orthopedics" ref="A1:M532" totalsRowShown="0" headerRowDxfId="26">
  <autoFilter ref="A1:M532" xr:uid="{5A006BA1-E1CD-447D-91ED-D16FEC6573B3}"/>
  <tableColumns count="13">
    <tableColumn id="1" xr3:uid="{4DBCD087-4F76-422F-BDF5-7BC77D5F60FF}" name="date" dataDxfId="29"/>
    <tableColumn id="2" xr3:uid="{EC9029F2-EADB-4C8D-981B-3DA7B61A0275}" name="month" dataDxfId="28"/>
    <tableColumn id="3" xr3:uid="{F50C64D0-B824-49F8-BF89-AAA7F6E2299E}" name="day_of_the_week" dataDxfId="27">
      <calculatedColumnFormula>TEXT(A2,"dddd")</calculatedColumnFormula>
    </tableColumn>
    <tableColumn id="4" xr3:uid="{5FBA5947-CB08-4D29-A61C-F5AEDCDABFE9}" name="time_frame" dataDxfId="25"/>
    <tableColumn id="5" xr3:uid="{78526B51-5E9B-4AE5-8CF0-F0B16E3B61D1}" name="patient_id"/>
    <tableColumn id="6" xr3:uid="{B613DF93-71BF-42E9-87B6-FB3E30CD18E4}" name="patient_gender"/>
    <tableColumn id="7" xr3:uid="{267F9785-145B-4C58-B851-03005911E3F6}" name="patient_age"/>
    <tableColumn id="8" xr3:uid="{E89E0C24-FC26-4A8B-A55E-6FDF63B41BA3}" name="patient_sat_score"/>
    <tableColumn id="9" xr3:uid="{A3DB9461-46AC-4007-8CC3-43A7ED8001BD}" name="patient_last_name"/>
    <tableColumn id="10" xr3:uid="{C05933F3-A002-4D0C-9B7F-2FE0CD4381A2}" name="patient_race"/>
    <tableColumn id="11" xr3:uid="{396A0865-D31A-47ED-8911-F9E66E8E79B9}" name="patient_admin_flag"/>
    <tableColumn id="12" xr3:uid="{70C8B9CC-AB4F-4283-85EC-8C62DB1C6F73}" name="patient_waittime"/>
    <tableColumn id="13" xr3:uid="{D6587EA3-C508-413B-8098-C18AD36E7A92}" name="department_referral"/>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BD0C-EB73-489B-AD05-C53F2F2604B2}">
  <dimension ref="A1:M532"/>
  <sheetViews>
    <sheetView tabSelected="1" workbookViewId="0">
      <selection activeCell="D4" sqref="D4"/>
    </sheetView>
  </sheetViews>
  <sheetFormatPr defaultRowHeight="14.5" x14ac:dyDescent="0.35"/>
  <cols>
    <col min="1" max="1" width="15.08984375" bestFit="1" customWidth="1"/>
    <col min="2" max="2" width="15.08984375" customWidth="1"/>
    <col min="3" max="3" width="17" customWidth="1"/>
    <col min="4" max="4" width="15.08984375" style="26" customWidth="1"/>
    <col min="5" max="5" width="11.26953125" customWidth="1"/>
    <col min="6" max="6" width="15.36328125" customWidth="1"/>
    <col min="7" max="7" width="12.54296875" customWidth="1"/>
    <col min="8" max="8" width="17.54296875" customWidth="1"/>
    <col min="9" max="9" width="18.26953125" customWidth="1"/>
    <col min="10" max="10" width="26" bestFit="1" customWidth="1"/>
    <col min="11" max="11" width="18.90625" customWidth="1"/>
    <col min="12" max="12" width="17" customWidth="1"/>
    <col min="13" max="13" width="19.54296875" customWidth="1"/>
  </cols>
  <sheetData>
    <row r="1" spans="1:13" x14ac:dyDescent="0.35">
      <c r="A1" s="1" t="s">
        <v>0</v>
      </c>
      <c r="B1" s="1" t="s">
        <v>1078</v>
      </c>
      <c r="C1" s="1" t="s">
        <v>1079</v>
      </c>
      <c r="D1" s="25" t="s">
        <v>1080</v>
      </c>
      <c r="E1" s="1" t="s">
        <v>1</v>
      </c>
      <c r="F1" s="1" t="s">
        <v>2</v>
      </c>
      <c r="G1" s="1" t="s">
        <v>3</v>
      </c>
      <c r="H1" s="1" t="s">
        <v>4</v>
      </c>
      <c r="I1" s="1" t="s">
        <v>5</v>
      </c>
      <c r="J1" s="1" t="s">
        <v>6</v>
      </c>
      <c r="K1" s="1" t="s">
        <v>7</v>
      </c>
      <c r="L1" s="1" t="s">
        <v>8</v>
      </c>
      <c r="M1" s="1" t="s">
        <v>9</v>
      </c>
    </row>
    <row r="2" spans="1:13" x14ac:dyDescent="0.35">
      <c r="A2" s="2">
        <v>44927.541817129626</v>
      </c>
      <c r="B2" s="2" t="s">
        <v>1081</v>
      </c>
      <c r="C2" s="2" t="str">
        <f>TEXT(A2,"dddd")</f>
        <v>Sunday</v>
      </c>
      <c r="D2" s="26">
        <v>0.54166666666666663</v>
      </c>
      <c r="E2" t="s">
        <v>19</v>
      </c>
      <c r="F2" t="s">
        <v>10</v>
      </c>
      <c r="G2">
        <v>59</v>
      </c>
      <c r="I2" t="s">
        <v>20</v>
      </c>
      <c r="J2" t="s">
        <v>13</v>
      </c>
      <c r="K2" t="b">
        <v>1</v>
      </c>
      <c r="L2">
        <v>45</v>
      </c>
      <c r="M2" t="s">
        <v>21</v>
      </c>
    </row>
    <row r="3" spans="1:13" x14ac:dyDescent="0.35">
      <c r="A3" s="2">
        <v>44927.726307870369</v>
      </c>
      <c r="B3" s="2" t="s">
        <v>1081</v>
      </c>
      <c r="C3" s="2" t="str">
        <f t="shared" ref="C3:C66" si="0">TEXT(A3,"dddd")</f>
        <v>Sunday</v>
      </c>
      <c r="D3" s="26">
        <v>0.70833333333333337</v>
      </c>
      <c r="E3" t="s">
        <v>22</v>
      </c>
      <c r="F3" t="s">
        <v>12</v>
      </c>
      <c r="G3">
        <v>22</v>
      </c>
      <c r="I3" t="s">
        <v>23</v>
      </c>
      <c r="J3" t="s">
        <v>13</v>
      </c>
      <c r="K3" t="b">
        <v>1</v>
      </c>
      <c r="L3">
        <v>45</v>
      </c>
      <c r="M3" t="s">
        <v>21</v>
      </c>
    </row>
    <row r="4" spans="1:13" x14ac:dyDescent="0.35">
      <c r="A4" s="2">
        <v>44928.58797453704</v>
      </c>
      <c r="B4" s="2" t="s">
        <v>1081</v>
      </c>
      <c r="C4" s="2" t="str">
        <f t="shared" si="0"/>
        <v>Monday</v>
      </c>
      <c r="D4" s="26">
        <v>0.58333333333333337</v>
      </c>
      <c r="E4" t="s">
        <v>24</v>
      </c>
      <c r="F4" t="s">
        <v>10</v>
      </c>
      <c r="G4">
        <v>6</v>
      </c>
      <c r="I4" t="s">
        <v>25</v>
      </c>
      <c r="J4" t="s">
        <v>11</v>
      </c>
      <c r="K4" t="b">
        <v>1</v>
      </c>
      <c r="L4">
        <v>19</v>
      </c>
      <c r="M4" t="s">
        <v>21</v>
      </c>
    </row>
    <row r="5" spans="1:13" x14ac:dyDescent="0.35">
      <c r="A5" s="2">
        <v>44928.886712962965</v>
      </c>
      <c r="B5" s="2" t="s">
        <v>1081</v>
      </c>
      <c r="C5" s="2" t="str">
        <f t="shared" si="0"/>
        <v>Monday</v>
      </c>
      <c r="D5" s="26">
        <v>0.875</v>
      </c>
      <c r="E5" t="s">
        <v>26</v>
      </c>
      <c r="F5" t="s">
        <v>10</v>
      </c>
      <c r="G5">
        <v>18</v>
      </c>
      <c r="I5" t="s">
        <v>27</v>
      </c>
      <c r="J5" t="s">
        <v>11</v>
      </c>
      <c r="K5" t="b">
        <v>0</v>
      </c>
      <c r="L5">
        <v>55</v>
      </c>
      <c r="M5" t="s">
        <v>21</v>
      </c>
    </row>
    <row r="6" spans="1:13" x14ac:dyDescent="0.35">
      <c r="A6" s="2">
        <v>44929.193402777775</v>
      </c>
      <c r="B6" s="2" t="s">
        <v>1081</v>
      </c>
      <c r="C6" s="2" t="str">
        <f t="shared" si="0"/>
        <v>Tuesday</v>
      </c>
      <c r="D6" s="26">
        <v>0.16666666666666666</v>
      </c>
      <c r="E6" t="s">
        <v>28</v>
      </c>
      <c r="F6" t="s">
        <v>10</v>
      </c>
      <c r="G6">
        <v>16</v>
      </c>
      <c r="I6" t="s">
        <v>29</v>
      </c>
      <c r="J6" t="s">
        <v>17</v>
      </c>
      <c r="K6" t="b">
        <v>0</v>
      </c>
      <c r="L6">
        <v>20</v>
      </c>
      <c r="M6" t="s">
        <v>21</v>
      </c>
    </row>
    <row r="7" spans="1:13" x14ac:dyDescent="0.35">
      <c r="A7" s="2">
        <v>44929.248414351852</v>
      </c>
      <c r="B7" s="2" t="s">
        <v>1081</v>
      </c>
      <c r="C7" s="2" t="str">
        <f t="shared" si="0"/>
        <v>Tuesday</v>
      </c>
      <c r="D7" s="26">
        <v>0.20833333333333334</v>
      </c>
      <c r="E7" t="s">
        <v>30</v>
      </c>
      <c r="F7" t="s">
        <v>10</v>
      </c>
      <c r="G7">
        <v>41</v>
      </c>
      <c r="I7" t="s">
        <v>31</v>
      </c>
      <c r="J7" t="s">
        <v>16</v>
      </c>
      <c r="K7" t="b">
        <v>1</v>
      </c>
      <c r="L7">
        <v>57</v>
      </c>
      <c r="M7" t="s">
        <v>21</v>
      </c>
    </row>
    <row r="8" spans="1:13" x14ac:dyDescent="0.35">
      <c r="A8" s="2">
        <v>44930.13045138889</v>
      </c>
      <c r="B8" s="2" t="s">
        <v>1081</v>
      </c>
      <c r="C8" s="2" t="str">
        <f t="shared" si="0"/>
        <v>Wednesday</v>
      </c>
      <c r="D8" s="26">
        <v>0.125</v>
      </c>
      <c r="E8" t="s">
        <v>33</v>
      </c>
      <c r="F8" t="s">
        <v>10</v>
      </c>
      <c r="G8">
        <v>27</v>
      </c>
      <c r="I8" t="s">
        <v>34</v>
      </c>
      <c r="J8" t="s">
        <v>17</v>
      </c>
      <c r="K8" t="b">
        <v>0</v>
      </c>
      <c r="L8">
        <v>53</v>
      </c>
      <c r="M8" t="s">
        <v>21</v>
      </c>
    </row>
    <row r="9" spans="1:13" x14ac:dyDescent="0.35">
      <c r="A9" s="2">
        <v>44930.145300925928</v>
      </c>
      <c r="B9" s="2" t="s">
        <v>1081</v>
      </c>
      <c r="C9" s="2" t="str">
        <f t="shared" si="0"/>
        <v>Wednesday</v>
      </c>
      <c r="D9" s="26">
        <v>0.125</v>
      </c>
      <c r="E9" t="s">
        <v>35</v>
      </c>
      <c r="F9" t="s">
        <v>12</v>
      </c>
      <c r="G9">
        <v>11</v>
      </c>
      <c r="H9">
        <v>4</v>
      </c>
      <c r="I9" t="s">
        <v>36</v>
      </c>
      <c r="J9" t="s">
        <v>13</v>
      </c>
      <c r="K9" t="b">
        <v>0</v>
      </c>
      <c r="L9">
        <v>42</v>
      </c>
      <c r="M9" t="s">
        <v>21</v>
      </c>
    </row>
    <row r="10" spans="1:13" x14ac:dyDescent="0.35">
      <c r="A10" s="2">
        <v>44930.621041666665</v>
      </c>
      <c r="B10" s="2" t="s">
        <v>1081</v>
      </c>
      <c r="C10" s="2" t="str">
        <f t="shared" si="0"/>
        <v>Wednesday</v>
      </c>
      <c r="D10" s="26">
        <v>0.58333333333333337</v>
      </c>
      <c r="E10" t="s">
        <v>37</v>
      </c>
      <c r="F10" t="s">
        <v>12</v>
      </c>
      <c r="G10">
        <v>6</v>
      </c>
      <c r="H10">
        <v>6</v>
      </c>
      <c r="I10" t="s">
        <v>38</v>
      </c>
      <c r="J10" t="s">
        <v>11</v>
      </c>
      <c r="K10" t="b">
        <v>1</v>
      </c>
      <c r="L10">
        <v>42</v>
      </c>
      <c r="M10" t="s">
        <v>21</v>
      </c>
    </row>
    <row r="11" spans="1:13" x14ac:dyDescent="0.35">
      <c r="A11" s="2">
        <v>44930.704548611109</v>
      </c>
      <c r="B11" s="2" t="s">
        <v>1081</v>
      </c>
      <c r="C11" s="2" t="str">
        <f t="shared" si="0"/>
        <v>Wednesday</v>
      </c>
      <c r="D11" s="26">
        <v>0.66666666666666663</v>
      </c>
      <c r="E11" t="s">
        <v>39</v>
      </c>
      <c r="F11" t="s">
        <v>12</v>
      </c>
      <c r="G11">
        <v>20</v>
      </c>
      <c r="I11" t="s">
        <v>40</v>
      </c>
      <c r="J11" t="s">
        <v>14</v>
      </c>
      <c r="K11" t="b">
        <v>1</v>
      </c>
      <c r="L11">
        <v>43</v>
      </c>
      <c r="M11" t="s">
        <v>21</v>
      </c>
    </row>
    <row r="12" spans="1:13" x14ac:dyDescent="0.35">
      <c r="A12" s="2">
        <v>44931.858819444446</v>
      </c>
      <c r="B12" s="2" t="s">
        <v>1081</v>
      </c>
      <c r="C12" s="2" t="str">
        <f t="shared" si="0"/>
        <v>Thursday</v>
      </c>
      <c r="D12" s="26">
        <v>0.83333333333333337</v>
      </c>
      <c r="E12" t="s">
        <v>41</v>
      </c>
      <c r="F12" t="s">
        <v>10</v>
      </c>
      <c r="G12">
        <v>9</v>
      </c>
      <c r="H12">
        <v>8</v>
      </c>
      <c r="I12" t="s">
        <v>42</v>
      </c>
      <c r="J12" t="s">
        <v>14</v>
      </c>
      <c r="K12" t="b">
        <v>0</v>
      </c>
      <c r="L12">
        <v>30</v>
      </c>
      <c r="M12" t="s">
        <v>21</v>
      </c>
    </row>
    <row r="13" spans="1:13" x14ac:dyDescent="0.35">
      <c r="A13" s="2">
        <v>44931.957094907404</v>
      </c>
      <c r="B13" s="2" t="s">
        <v>1081</v>
      </c>
      <c r="C13" s="2" t="str">
        <f t="shared" si="0"/>
        <v>Thursday</v>
      </c>
      <c r="D13" s="26">
        <v>0.91666666666666663</v>
      </c>
      <c r="E13" t="s">
        <v>43</v>
      </c>
      <c r="F13" t="s">
        <v>10</v>
      </c>
      <c r="G13">
        <v>27</v>
      </c>
      <c r="I13" t="s">
        <v>44</v>
      </c>
      <c r="J13" t="s">
        <v>16</v>
      </c>
      <c r="K13" t="b">
        <v>1</v>
      </c>
      <c r="L13">
        <v>49</v>
      </c>
      <c r="M13" t="s">
        <v>21</v>
      </c>
    </row>
    <row r="14" spans="1:13" x14ac:dyDescent="0.35">
      <c r="A14" s="2">
        <v>44933.439189814817</v>
      </c>
      <c r="B14" s="2" t="s">
        <v>1081</v>
      </c>
      <c r="C14" s="2" t="str">
        <f t="shared" si="0"/>
        <v>Saturday</v>
      </c>
      <c r="D14" s="26">
        <v>0.41666666666666669</v>
      </c>
      <c r="E14" t="s">
        <v>45</v>
      </c>
      <c r="F14" t="s">
        <v>10</v>
      </c>
      <c r="G14">
        <v>77</v>
      </c>
      <c r="H14">
        <v>3</v>
      </c>
      <c r="I14" t="s">
        <v>46</v>
      </c>
      <c r="J14" t="s">
        <v>15</v>
      </c>
      <c r="K14" t="b">
        <v>1</v>
      </c>
      <c r="L14">
        <v>28</v>
      </c>
      <c r="M14" t="s">
        <v>21</v>
      </c>
    </row>
    <row r="15" spans="1:13" x14ac:dyDescent="0.35">
      <c r="A15" s="2">
        <v>44933.482847222222</v>
      </c>
      <c r="B15" s="2" t="s">
        <v>1081</v>
      </c>
      <c r="C15" s="2" t="str">
        <f t="shared" si="0"/>
        <v>Saturday</v>
      </c>
      <c r="D15" s="26">
        <v>0.45833333333333331</v>
      </c>
      <c r="E15" t="s">
        <v>47</v>
      </c>
      <c r="F15" t="s">
        <v>10</v>
      </c>
      <c r="G15">
        <v>55</v>
      </c>
      <c r="I15" t="s">
        <v>48</v>
      </c>
      <c r="J15" t="s">
        <v>16</v>
      </c>
      <c r="K15" t="b">
        <v>0</v>
      </c>
      <c r="L15">
        <v>56</v>
      </c>
      <c r="M15" t="s">
        <v>21</v>
      </c>
    </row>
    <row r="16" spans="1:13" x14ac:dyDescent="0.35">
      <c r="A16" s="2">
        <v>44933.640381944446</v>
      </c>
      <c r="B16" s="2" t="s">
        <v>1081</v>
      </c>
      <c r="C16" s="2" t="str">
        <f t="shared" si="0"/>
        <v>Saturday</v>
      </c>
      <c r="D16" s="26">
        <v>0.625</v>
      </c>
      <c r="E16" t="s">
        <v>49</v>
      </c>
      <c r="F16" t="s">
        <v>10</v>
      </c>
      <c r="G16">
        <v>13</v>
      </c>
      <c r="I16" t="s">
        <v>50</v>
      </c>
      <c r="J16" t="s">
        <v>15</v>
      </c>
      <c r="K16" t="b">
        <v>0</v>
      </c>
      <c r="L16">
        <v>49</v>
      </c>
      <c r="M16" t="s">
        <v>21</v>
      </c>
    </row>
    <row r="17" spans="1:13" x14ac:dyDescent="0.35">
      <c r="A17" s="2">
        <v>44933.939444444448</v>
      </c>
      <c r="B17" s="2" t="s">
        <v>1081</v>
      </c>
      <c r="C17" s="2" t="str">
        <f t="shared" si="0"/>
        <v>Saturday</v>
      </c>
      <c r="D17" s="26">
        <v>0.91666666666666663</v>
      </c>
      <c r="E17" t="s">
        <v>51</v>
      </c>
      <c r="F17" t="s">
        <v>10</v>
      </c>
      <c r="G17">
        <v>63</v>
      </c>
      <c r="I17" t="s">
        <v>52</v>
      </c>
      <c r="J17" t="s">
        <v>18</v>
      </c>
      <c r="K17" t="b">
        <v>0</v>
      </c>
      <c r="L17">
        <v>41</v>
      </c>
      <c r="M17" t="s">
        <v>21</v>
      </c>
    </row>
    <row r="18" spans="1:13" x14ac:dyDescent="0.35">
      <c r="A18" s="2">
        <v>44934.59233796296</v>
      </c>
      <c r="B18" s="2" t="s">
        <v>1081</v>
      </c>
      <c r="C18" s="2" t="str">
        <f t="shared" si="0"/>
        <v>Sunday</v>
      </c>
      <c r="D18" s="26">
        <v>0.58333333333333337</v>
      </c>
      <c r="E18" t="s">
        <v>53</v>
      </c>
      <c r="F18" t="s">
        <v>10</v>
      </c>
      <c r="G18">
        <v>73</v>
      </c>
      <c r="I18" t="s">
        <v>54</v>
      </c>
      <c r="J18" t="s">
        <v>16</v>
      </c>
      <c r="K18" t="b">
        <v>0</v>
      </c>
      <c r="L18">
        <v>38</v>
      </c>
      <c r="M18" t="s">
        <v>21</v>
      </c>
    </row>
    <row r="19" spans="1:13" x14ac:dyDescent="0.35">
      <c r="A19" s="2">
        <v>44934.777337962965</v>
      </c>
      <c r="B19" s="2" t="s">
        <v>1081</v>
      </c>
      <c r="C19" s="2" t="str">
        <f t="shared" si="0"/>
        <v>Sunday</v>
      </c>
      <c r="D19" s="26">
        <v>0.75</v>
      </c>
      <c r="E19" t="s">
        <v>55</v>
      </c>
      <c r="F19" t="s">
        <v>10</v>
      </c>
      <c r="G19">
        <v>64</v>
      </c>
      <c r="H19">
        <v>10</v>
      </c>
      <c r="I19" t="s">
        <v>56</v>
      </c>
      <c r="J19" t="s">
        <v>16</v>
      </c>
      <c r="K19" t="b">
        <v>1</v>
      </c>
      <c r="L19">
        <v>21</v>
      </c>
      <c r="M19" t="s">
        <v>21</v>
      </c>
    </row>
    <row r="20" spans="1:13" x14ac:dyDescent="0.35">
      <c r="A20" s="2">
        <v>44935.396527777775</v>
      </c>
      <c r="B20" s="2" t="s">
        <v>1081</v>
      </c>
      <c r="C20" s="2" t="str">
        <f t="shared" si="0"/>
        <v>Monday</v>
      </c>
      <c r="D20" s="26">
        <v>0.375</v>
      </c>
      <c r="E20" t="s">
        <v>57</v>
      </c>
      <c r="F20" t="s">
        <v>10</v>
      </c>
      <c r="G20">
        <v>32</v>
      </c>
      <c r="I20" t="s">
        <v>58</v>
      </c>
      <c r="J20" t="s">
        <v>11</v>
      </c>
      <c r="K20" t="b">
        <v>1</v>
      </c>
      <c r="L20">
        <v>26</v>
      </c>
      <c r="M20" t="s">
        <v>21</v>
      </c>
    </row>
    <row r="21" spans="1:13" x14ac:dyDescent="0.35">
      <c r="A21" s="2">
        <v>44935.939386574071</v>
      </c>
      <c r="B21" s="2" t="s">
        <v>1081</v>
      </c>
      <c r="C21" s="2" t="str">
        <f t="shared" si="0"/>
        <v>Monday</v>
      </c>
      <c r="D21" s="26">
        <v>0.91666666666666663</v>
      </c>
      <c r="E21" t="s">
        <v>59</v>
      </c>
      <c r="F21" t="s">
        <v>10</v>
      </c>
      <c r="G21">
        <v>24</v>
      </c>
      <c r="I21" t="s">
        <v>60</v>
      </c>
      <c r="J21" t="s">
        <v>11</v>
      </c>
      <c r="K21" t="b">
        <v>0</v>
      </c>
      <c r="L21">
        <v>60</v>
      </c>
      <c r="M21" t="s">
        <v>21</v>
      </c>
    </row>
    <row r="22" spans="1:13" x14ac:dyDescent="0.35">
      <c r="A22" s="2">
        <v>44936.581909722219</v>
      </c>
      <c r="B22" s="2" t="s">
        <v>1081</v>
      </c>
      <c r="C22" s="2" t="str">
        <f t="shared" si="0"/>
        <v>Tuesday</v>
      </c>
      <c r="D22" s="26">
        <v>0.54166666666666663</v>
      </c>
      <c r="E22" t="s">
        <v>61</v>
      </c>
      <c r="F22" t="s">
        <v>10</v>
      </c>
      <c r="G22">
        <v>46</v>
      </c>
      <c r="I22" t="s">
        <v>62</v>
      </c>
      <c r="J22" t="s">
        <v>13</v>
      </c>
      <c r="K22" t="b">
        <v>1</v>
      </c>
      <c r="L22">
        <v>47</v>
      </c>
      <c r="M22" t="s">
        <v>21</v>
      </c>
    </row>
    <row r="23" spans="1:13" x14ac:dyDescent="0.35">
      <c r="A23" s="2">
        <v>44936.721435185187</v>
      </c>
      <c r="B23" s="2" t="s">
        <v>1081</v>
      </c>
      <c r="C23" s="2" t="str">
        <f t="shared" si="0"/>
        <v>Tuesday</v>
      </c>
      <c r="D23" s="26">
        <v>0.70833333333333337</v>
      </c>
      <c r="E23" t="s">
        <v>63</v>
      </c>
      <c r="F23" t="s">
        <v>10</v>
      </c>
      <c r="G23">
        <v>11</v>
      </c>
      <c r="I23" t="s">
        <v>64</v>
      </c>
      <c r="J23" t="s">
        <v>13</v>
      </c>
      <c r="K23" t="b">
        <v>1</v>
      </c>
      <c r="L23">
        <v>60</v>
      </c>
      <c r="M23" t="s">
        <v>21</v>
      </c>
    </row>
    <row r="24" spans="1:13" x14ac:dyDescent="0.35">
      <c r="A24" s="2">
        <v>44937.593148148146</v>
      </c>
      <c r="B24" s="2" t="s">
        <v>1081</v>
      </c>
      <c r="C24" s="2" t="str">
        <f t="shared" si="0"/>
        <v>Wednesday</v>
      </c>
      <c r="D24" s="26">
        <v>0.58333333333333337</v>
      </c>
      <c r="E24" t="s">
        <v>65</v>
      </c>
      <c r="F24" t="s">
        <v>12</v>
      </c>
      <c r="G24">
        <v>66</v>
      </c>
      <c r="I24" t="s">
        <v>66</v>
      </c>
      <c r="J24" t="s">
        <v>11</v>
      </c>
      <c r="K24" t="b">
        <v>1</v>
      </c>
      <c r="L24">
        <v>60</v>
      </c>
      <c r="M24" t="s">
        <v>21</v>
      </c>
    </row>
    <row r="25" spans="1:13" x14ac:dyDescent="0.35">
      <c r="A25" s="2">
        <v>44938.401354166665</v>
      </c>
      <c r="B25" s="2" t="s">
        <v>1081</v>
      </c>
      <c r="C25" s="2" t="str">
        <f t="shared" si="0"/>
        <v>Thursday</v>
      </c>
      <c r="D25" s="26">
        <v>0.375</v>
      </c>
      <c r="E25" t="s">
        <v>67</v>
      </c>
      <c r="F25" t="s">
        <v>12</v>
      </c>
      <c r="G25">
        <v>30</v>
      </c>
      <c r="I25" t="s">
        <v>68</v>
      </c>
      <c r="J25" t="s">
        <v>15</v>
      </c>
      <c r="K25" t="b">
        <v>1</v>
      </c>
      <c r="L25">
        <v>49</v>
      </c>
      <c r="M25" t="s">
        <v>21</v>
      </c>
    </row>
    <row r="26" spans="1:13" x14ac:dyDescent="0.35">
      <c r="A26" s="2">
        <v>44938.889768518522</v>
      </c>
      <c r="B26" s="2" t="s">
        <v>1081</v>
      </c>
      <c r="C26" s="2" t="str">
        <f t="shared" si="0"/>
        <v>Thursday</v>
      </c>
      <c r="D26" s="26">
        <v>0.875</v>
      </c>
      <c r="E26" t="s">
        <v>69</v>
      </c>
      <c r="F26" t="s">
        <v>10</v>
      </c>
      <c r="G26">
        <v>61</v>
      </c>
      <c r="I26" t="s">
        <v>70</v>
      </c>
      <c r="J26" t="s">
        <v>16</v>
      </c>
      <c r="K26" t="b">
        <v>1</v>
      </c>
      <c r="L26">
        <v>37</v>
      </c>
      <c r="M26" t="s">
        <v>21</v>
      </c>
    </row>
    <row r="27" spans="1:13" x14ac:dyDescent="0.35">
      <c r="A27" s="2">
        <v>44939.061342592591</v>
      </c>
      <c r="B27" s="2" t="s">
        <v>1081</v>
      </c>
      <c r="C27" s="2" t="str">
        <f t="shared" si="0"/>
        <v>Friday</v>
      </c>
      <c r="D27" s="26">
        <v>4.1666666666666664E-2</v>
      </c>
      <c r="E27" t="s">
        <v>71</v>
      </c>
      <c r="F27" t="s">
        <v>12</v>
      </c>
      <c r="G27">
        <v>5</v>
      </c>
      <c r="I27" t="s">
        <v>72</v>
      </c>
      <c r="J27" t="s">
        <v>14</v>
      </c>
      <c r="K27" t="b">
        <v>0</v>
      </c>
      <c r="L27">
        <v>30</v>
      </c>
      <c r="M27" t="s">
        <v>21</v>
      </c>
    </row>
    <row r="28" spans="1:13" x14ac:dyDescent="0.35">
      <c r="A28" s="2">
        <v>44939.172534722224</v>
      </c>
      <c r="B28" s="2" t="s">
        <v>1081</v>
      </c>
      <c r="C28" s="2" t="str">
        <f t="shared" si="0"/>
        <v>Friday</v>
      </c>
      <c r="D28" s="26">
        <v>0.16666666666666666</v>
      </c>
      <c r="E28" t="s">
        <v>73</v>
      </c>
      <c r="F28" t="s">
        <v>10</v>
      </c>
      <c r="G28">
        <v>26</v>
      </c>
      <c r="I28" t="s">
        <v>74</v>
      </c>
      <c r="J28" t="s">
        <v>16</v>
      </c>
      <c r="K28" t="b">
        <v>1</v>
      </c>
      <c r="L28">
        <v>42</v>
      </c>
      <c r="M28" t="s">
        <v>21</v>
      </c>
    </row>
    <row r="29" spans="1:13" x14ac:dyDescent="0.35">
      <c r="A29" s="2">
        <v>44939.485578703701</v>
      </c>
      <c r="B29" s="2" t="s">
        <v>1081</v>
      </c>
      <c r="C29" s="2" t="str">
        <f t="shared" si="0"/>
        <v>Friday</v>
      </c>
      <c r="D29" s="26">
        <v>0.45833333333333331</v>
      </c>
      <c r="E29" t="s">
        <v>75</v>
      </c>
      <c r="F29" t="s">
        <v>10</v>
      </c>
      <c r="G29">
        <v>33</v>
      </c>
      <c r="I29" t="s">
        <v>76</v>
      </c>
      <c r="J29" t="s">
        <v>13</v>
      </c>
      <c r="K29" t="b">
        <v>1</v>
      </c>
      <c r="L29">
        <v>32</v>
      </c>
      <c r="M29" t="s">
        <v>21</v>
      </c>
    </row>
    <row r="30" spans="1:13" x14ac:dyDescent="0.35">
      <c r="A30" s="2">
        <v>44940.053310185183</v>
      </c>
      <c r="B30" s="2" t="s">
        <v>1081</v>
      </c>
      <c r="C30" s="2" t="str">
        <f t="shared" si="0"/>
        <v>Saturday</v>
      </c>
      <c r="D30" s="26">
        <v>4.1666666666666664E-2</v>
      </c>
      <c r="E30" t="s">
        <v>77</v>
      </c>
      <c r="F30" t="s">
        <v>10</v>
      </c>
      <c r="G30">
        <v>45</v>
      </c>
      <c r="H30">
        <v>4</v>
      </c>
      <c r="I30" t="s">
        <v>78</v>
      </c>
      <c r="J30" t="s">
        <v>11</v>
      </c>
      <c r="K30" t="b">
        <v>0</v>
      </c>
      <c r="L30">
        <v>41</v>
      </c>
      <c r="M30" t="s">
        <v>21</v>
      </c>
    </row>
    <row r="31" spans="1:13" x14ac:dyDescent="0.35">
      <c r="A31" s="2">
        <v>44940.11278935185</v>
      </c>
      <c r="B31" s="2" t="s">
        <v>1081</v>
      </c>
      <c r="C31" s="2" t="str">
        <f t="shared" si="0"/>
        <v>Saturday</v>
      </c>
      <c r="D31" s="26">
        <v>8.3333333333333329E-2</v>
      </c>
      <c r="E31" t="s">
        <v>79</v>
      </c>
      <c r="F31" t="s">
        <v>10</v>
      </c>
      <c r="G31">
        <v>16</v>
      </c>
      <c r="H31">
        <v>5</v>
      </c>
      <c r="I31" t="s">
        <v>80</v>
      </c>
      <c r="J31" t="s">
        <v>14</v>
      </c>
      <c r="K31" t="b">
        <v>1</v>
      </c>
      <c r="L31">
        <v>22</v>
      </c>
      <c r="M31" t="s">
        <v>21</v>
      </c>
    </row>
    <row r="32" spans="1:13" x14ac:dyDescent="0.35">
      <c r="A32" s="2">
        <v>44940.455405092594</v>
      </c>
      <c r="B32" s="2" t="s">
        <v>1081</v>
      </c>
      <c r="C32" s="2" t="str">
        <f t="shared" si="0"/>
        <v>Saturday</v>
      </c>
      <c r="D32" s="26">
        <v>0.41666666666666669</v>
      </c>
      <c r="E32" t="s">
        <v>81</v>
      </c>
      <c r="F32" t="s">
        <v>10</v>
      </c>
      <c r="G32">
        <v>74</v>
      </c>
      <c r="I32" t="s">
        <v>82</v>
      </c>
      <c r="J32" t="s">
        <v>18</v>
      </c>
      <c r="K32" t="b">
        <v>1</v>
      </c>
      <c r="L32">
        <v>15</v>
      </c>
      <c r="M32" t="s">
        <v>21</v>
      </c>
    </row>
    <row r="33" spans="1:13" x14ac:dyDescent="0.35">
      <c r="A33" s="2">
        <v>44940.482766203706</v>
      </c>
      <c r="B33" s="2" t="s">
        <v>1081</v>
      </c>
      <c r="C33" s="2" t="str">
        <f t="shared" si="0"/>
        <v>Saturday</v>
      </c>
      <c r="D33" s="26">
        <v>0.45833333333333331</v>
      </c>
      <c r="E33" t="s">
        <v>83</v>
      </c>
      <c r="F33" t="s">
        <v>10</v>
      </c>
      <c r="G33">
        <v>62</v>
      </c>
      <c r="I33" t="s">
        <v>84</v>
      </c>
      <c r="J33" t="s">
        <v>16</v>
      </c>
      <c r="K33" t="b">
        <v>0</v>
      </c>
      <c r="L33">
        <v>50</v>
      </c>
      <c r="M33" t="s">
        <v>21</v>
      </c>
    </row>
    <row r="34" spans="1:13" x14ac:dyDescent="0.35">
      <c r="A34" s="2">
        <v>44940.75677083333</v>
      </c>
      <c r="B34" s="2" t="s">
        <v>1081</v>
      </c>
      <c r="C34" s="2" t="str">
        <f t="shared" si="0"/>
        <v>Saturday</v>
      </c>
      <c r="D34" s="26">
        <v>0.75</v>
      </c>
      <c r="E34" t="s">
        <v>85</v>
      </c>
      <c r="F34" t="s">
        <v>12</v>
      </c>
      <c r="G34">
        <v>41</v>
      </c>
      <c r="I34" t="s">
        <v>86</v>
      </c>
      <c r="J34" t="s">
        <v>16</v>
      </c>
      <c r="K34" t="b">
        <v>1</v>
      </c>
      <c r="L34">
        <v>23</v>
      </c>
      <c r="M34" t="s">
        <v>21</v>
      </c>
    </row>
    <row r="35" spans="1:13" x14ac:dyDescent="0.35">
      <c r="A35" s="2">
        <v>44940.916226851848</v>
      </c>
      <c r="B35" s="2" t="s">
        <v>1081</v>
      </c>
      <c r="C35" s="2" t="str">
        <f t="shared" si="0"/>
        <v>Saturday</v>
      </c>
      <c r="D35" s="26">
        <v>0.875</v>
      </c>
      <c r="E35" t="s">
        <v>87</v>
      </c>
      <c r="F35" t="s">
        <v>12</v>
      </c>
      <c r="G35">
        <v>74</v>
      </c>
      <c r="I35" t="s">
        <v>88</v>
      </c>
      <c r="J35" t="s">
        <v>15</v>
      </c>
      <c r="K35" t="b">
        <v>0</v>
      </c>
      <c r="L35">
        <v>59</v>
      </c>
      <c r="M35" t="s">
        <v>21</v>
      </c>
    </row>
    <row r="36" spans="1:13" x14ac:dyDescent="0.35">
      <c r="A36" s="2">
        <v>44941.386157407411</v>
      </c>
      <c r="B36" s="2" t="s">
        <v>1081</v>
      </c>
      <c r="C36" s="2" t="str">
        <f t="shared" si="0"/>
        <v>Sunday</v>
      </c>
      <c r="D36" s="26">
        <v>0.375</v>
      </c>
      <c r="E36" t="s">
        <v>90</v>
      </c>
      <c r="F36" t="s">
        <v>12</v>
      </c>
      <c r="G36">
        <v>36</v>
      </c>
      <c r="I36" t="s">
        <v>91</v>
      </c>
      <c r="J36" t="s">
        <v>17</v>
      </c>
      <c r="K36" t="b">
        <v>1</v>
      </c>
      <c r="L36">
        <v>34</v>
      </c>
      <c r="M36" t="s">
        <v>21</v>
      </c>
    </row>
    <row r="37" spans="1:13" x14ac:dyDescent="0.35">
      <c r="A37" s="2">
        <v>44943.309386574074</v>
      </c>
      <c r="B37" s="2" t="s">
        <v>1081</v>
      </c>
      <c r="C37" s="2" t="str">
        <f t="shared" si="0"/>
        <v>Tuesday</v>
      </c>
      <c r="D37" s="26">
        <v>0.29166666666666669</v>
      </c>
      <c r="E37" t="s">
        <v>94</v>
      </c>
      <c r="F37" t="s">
        <v>12</v>
      </c>
      <c r="G37">
        <v>62</v>
      </c>
      <c r="I37" t="s">
        <v>95</v>
      </c>
      <c r="J37" t="s">
        <v>11</v>
      </c>
      <c r="K37" t="b">
        <v>1</v>
      </c>
      <c r="L37">
        <v>33</v>
      </c>
      <c r="M37" t="s">
        <v>21</v>
      </c>
    </row>
    <row r="38" spans="1:13" x14ac:dyDescent="0.35">
      <c r="A38" s="2">
        <v>44943.528831018521</v>
      </c>
      <c r="B38" s="2" t="s">
        <v>1081</v>
      </c>
      <c r="C38" s="2" t="str">
        <f t="shared" si="0"/>
        <v>Tuesday</v>
      </c>
      <c r="D38" s="26">
        <v>0.5</v>
      </c>
      <c r="E38" t="s">
        <v>96</v>
      </c>
      <c r="F38" t="s">
        <v>12</v>
      </c>
      <c r="G38">
        <v>4</v>
      </c>
      <c r="I38" t="s">
        <v>97</v>
      </c>
      <c r="J38" t="s">
        <v>13</v>
      </c>
      <c r="K38" t="b">
        <v>1</v>
      </c>
      <c r="L38">
        <v>53</v>
      </c>
      <c r="M38" t="s">
        <v>21</v>
      </c>
    </row>
    <row r="39" spans="1:13" x14ac:dyDescent="0.35">
      <c r="A39" s="2">
        <v>44944.097893518519</v>
      </c>
      <c r="B39" s="2" t="s">
        <v>1081</v>
      </c>
      <c r="C39" s="2" t="str">
        <f t="shared" si="0"/>
        <v>Wednesday</v>
      </c>
      <c r="D39" s="26">
        <v>8.3333333333333329E-2</v>
      </c>
      <c r="E39" t="s">
        <v>98</v>
      </c>
      <c r="F39" t="s">
        <v>12</v>
      </c>
      <c r="G39">
        <v>25</v>
      </c>
      <c r="I39" t="s">
        <v>89</v>
      </c>
      <c r="J39" t="s">
        <v>15</v>
      </c>
      <c r="K39" t="b">
        <v>0</v>
      </c>
      <c r="L39">
        <v>44</v>
      </c>
      <c r="M39" t="s">
        <v>21</v>
      </c>
    </row>
    <row r="40" spans="1:13" x14ac:dyDescent="0.35">
      <c r="A40" s="2">
        <v>44944.485324074078</v>
      </c>
      <c r="B40" s="2" t="s">
        <v>1081</v>
      </c>
      <c r="C40" s="2" t="str">
        <f t="shared" si="0"/>
        <v>Wednesday</v>
      </c>
      <c r="D40" s="26">
        <v>0.45833333333333331</v>
      </c>
      <c r="E40" t="s">
        <v>99</v>
      </c>
      <c r="F40" t="s">
        <v>12</v>
      </c>
      <c r="G40">
        <v>22</v>
      </c>
      <c r="I40" t="s">
        <v>100</v>
      </c>
      <c r="J40" t="s">
        <v>14</v>
      </c>
      <c r="K40" t="b">
        <v>0</v>
      </c>
      <c r="L40">
        <v>25</v>
      </c>
      <c r="M40" t="s">
        <v>21</v>
      </c>
    </row>
    <row r="41" spans="1:13" x14ac:dyDescent="0.35">
      <c r="A41" s="2">
        <v>44944.747037037036</v>
      </c>
      <c r="B41" s="2" t="s">
        <v>1081</v>
      </c>
      <c r="C41" s="2" t="str">
        <f t="shared" si="0"/>
        <v>Wednesday</v>
      </c>
      <c r="D41" s="26">
        <v>0.70833333333333337</v>
      </c>
      <c r="E41" t="s">
        <v>101</v>
      </c>
      <c r="F41" t="s">
        <v>10</v>
      </c>
      <c r="G41">
        <v>15</v>
      </c>
      <c r="H41">
        <v>6</v>
      </c>
      <c r="I41" t="s">
        <v>102</v>
      </c>
      <c r="J41" t="s">
        <v>11</v>
      </c>
      <c r="K41" t="b">
        <v>1</v>
      </c>
      <c r="L41">
        <v>43</v>
      </c>
      <c r="M41" t="s">
        <v>21</v>
      </c>
    </row>
    <row r="42" spans="1:13" x14ac:dyDescent="0.35">
      <c r="A42" s="2">
        <v>44944.809490740743</v>
      </c>
      <c r="B42" s="2" t="s">
        <v>1081</v>
      </c>
      <c r="C42" s="2" t="str">
        <f t="shared" si="0"/>
        <v>Wednesday</v>
      </c>
      <c r="D42" s="26">
        <v>0.79166666666666663</v>
      </c>
      <c r="E42" t="s">
        <v>103</v>
      </c>
      <c r="F42" t="s">
        <v>10</v>
      </c>
      <c r="G42">
        <v>52</v>
      </c>
      <c r="I42" t="s">
        <v>104</v>
      </c>
      <c r="J42" t="s">
        <v>15</v>
      </c>
      <c r="K42" t="b">
        <v>1</v>
      </c>
      <c r="L42">
        <v>18</v>
      </c>
      <c r="M42" t="s">
        <v>21</v>
      </c>
    </row>
    <row r="43" spans="1:13" x14ac:dyDescent="0.35">
      <c r="A43" s="2">
        <v>44944.920081018521</v>
      </c>
      <c r="B43" s="2" t="s">
        <v>1081</v>
      </c>
      <c r="C43" s="2" t="str">
        <f t="shared" si="0"/>
        <v>Wednesday</v>
      </c>
      <c r="D43" s="26">
        <v>0.91666666666666663</v>
      </c>
      <c r="E43" t="s">
        <v>105</v>
      </c>
      <c r="F43" t="s">
        <v>10</v>
      </c>
      <c r="G43">
        <v>66</v>
      </c>
      <c r="H43">
        <v>10</v>
      </c>
      <c r="I43" t="s">
        <v>106</v>
      </c>
      <c r="J43" t="s">
        <v>15</v>
      </c>
      <c r="K43" t="b">
        <v>1</v>
      </c>
      <c r="L43">
        <v>44</v>
      </c>
      <c r="M43" t="s">
        <v>21</v>
      </c>
    </row>
    <row r="44" spans="1:13" x14ac:dyDescent="0.35">
      <c r="A44" s="2">
        <v>44946.568101851852</v>
      </c>
      <c r="B44" s="2" t="s">
        <v>1081</v>
      </c>
      <c r="C44" s="2" t="str">
        <f t="shared" si="0"/>
        <v>Friday</v>
      </c>
      <c r="D44" s="26">
        <v>0.54166666666666663</v>
      </c>
      <c r="E44" t="s">
        <v>108</v>
      </c>
      <c r="F44" t="s">
        <v>12</v>
      </c>
      <c r="G44">
        <v>49</v>
      </c>
      <c r="H44">
        <v>9</v>
      </c>
      <c r="I44" t="s">
        <v>109</v>
      </c>
      <c r="J44" t="s">
        <v>13</v>
      </c>
      <c r="K44" t="b">
        <v>1</v>
      </c>
      <c r="L44">
        <v>45</v>
      </c>
      <c r="M44" t="s">
        <v>21</v>
      </c>
    </row>
    <row r="45" spans="1:13" x14ac:dyDescent="0.35">
      <c r="A45" s="2">
        <v>44946.953796296293</v>
      </c>
      <c r="B45" s="2" t="s">
        <v>1081</v>
      </c>
      <c r="C45" s="2" t="str">
        <f t="shared" si="0"/>
        <v>Friday</v>
      </c>
      <c r="D45" s="26">
        <v>0.91666666666666663</v>
      </c>
      <c r="E45" t="s">
        <v>110</v>
      </c>
      <c r="F45" t="s">
        <v>12</v>
      </c>
      <c r="G45">
        <v>3</v>
      </c>
      <c r="I45" t="s">
        <v>111</v>
      </c>
      <c r="J45" t="s">
        <v>18</v>
      </c>
      <c r="K45" t="b">
        <v>1</v>
      </c>
      <c r="L45">
        <v>54</v>
      </c>
      <c r="M45" t="s">
        <v>21</v>
      </c>
    </row>
    <row r="46" spans="1:13" x14ac:dyDescent="0.35">
      <c r="A46" s="2">
        <v>44947.650393518517</v>
      </c>
      <c r="B46" s="2" t="s">
        <v>1081</v>
      </c>
      <c r="C46" s="2" t="str">
        <f t="shared" si="0"/>
        <v>Saturday</v>
      </c>
      <c r="D46" s="26">
        <v>0.625</v>
      </c>
      <c r="E46" t="s">
        <v>112</v>
      </c>
      <c r="F46" t="s">
        <v>10</v>
      </c>
      <c r="G46">
        <v>78</v>
      </c>
      <c r="I46" t="s">
        <v>113</v>
      </c>
      <c r="J46" t="s">
        <v>16</v>
      </c>
      <c r="K46" t="b">
        <v>1</v>
      </c>
      <c r="L46">
        <v>23</v>
      </c>
      <c r="M46" t="s">
        <v>21</v>
      </c>
    </row>
    <row r="47" spans="1:13" x14ac:dyDescent="0.35">
      <c r="A47" s="2">
        <v>44947.661990740744</v>
      </c>
      <c r="B47" s="2" t="s">
        <v>1081</v>
      </c>
      <c r="C47" s="2" t="str">
        <f t="shared" si="0"/>
        <v>Saturday</v>
      </c>
      <c r="D47" s="26">
        <v>0.625</v>
      </c>
      <c r="E47" t="s">
        <v>114</v>
      </c>
      <c r="F47" t="s">
        <v>12</v>
      </c>
      <c r="G47">
        <v>31</v>
      </c>
      <c r="I47" t="s">
        <v>115</v>
      </c>
      <c r="J47" t="s">
        <v>14</v>
      </c>
      <c r="K47" t="b">
        <v>0</v>
      </c>
      <c r="L47">
        <v>22</v>
      </c>
      <c r="M47" t="s">
        <v>21</v>
      </c>
    </row>
    <row r="48" spans="1:13" x14ac:dyDescent="0.35">
      <c r="A48" s="2">
        <v>44948.055798611109</v>
      </c>
      <c r="B48" s="2" t="s">
        <v>1081</v>
      </c>
      <c r="C48" s="2" t="str">
        <f t="shared" si="0"/>
        <v>Sunday</v>
      </c>
      <c r="D48" s="26">
        <v>4.1666666666666664E-2</v>
      </c>
      <c r="E48" t="s">
        <v>116</v>
      </c>
      <c r="F48" t="s">
        <v>10</v>
      </c>
      <c r="G48">
        <v>20</v>
      </c>
      <c r="H48">
        <v>10</v>
      </c>
      <c r="I48" t="s">
        <v>117</v>
      </c>
      <c r="J48" t="s">
        <v>11</v>
      </c>
      <c r="K48" t="b">
        <v>0</v>
      </c>
      <c r="L48">
        <v>56</v>
      </c>
      <c r="M48" t="s">
        <v>21</v>
      </c>
    </row>
    <row r="49" spans="1:13" x14ac:dyDescent="0.35">
      <c r="A49" s="2">
        <v>44948.14947916667</v>
      </c>
      <c r="B49" s="2" t="s">
        <v>1081</v>
      </c>
      <c r="C49" s="2" t="str">
        <f t="shared" si="0"/>
        <v>Sunday</v>
      </c>
      <c r="D49" s="26">
        <v>0.125</v>
      </c>
      <c r="E49" t="s">
        <v>118</v>
      </c>
      <c r="F49" t="s">
        <v>12</v>
      </c>
      <c r="G49">
        <v>79</v>
      </c>
      <c r="H49">
        <v>7</v>
      </c>
      <c r="I49" t="s">
        <v>119</v>
      </c>
      <c r="J49" t="s">
        <v>13</v>
      </c>
      <c r="K49" t="b">
        <v>1</v>
      </c>
      <c r="L49">
        <v>14</v>
      </c>
      <c r="M49" t="s">
        <v>21</v>
      </c>
    </row>
    <row r="50" spans="1:13" x14ac:dyDescent="0.35">
      <c r="A50" s="2">
        <v>44948.386122685188</v>
      </c>
      <c r="B50" s="2" t="s">
        <v>1081</v>
      </c>
      <c r="C50" s="2" t="str">
        <f t="shared" si="0"/>
        <v>Sunday</v>
      </c>
      <c r="D50" s="26">
        <v>0.375</v>
      </c>
      <c r="E50" t="s">
        <v>120</v>
      </c>
      <c r="F50" t="s">
        <v>12</v>
      </c>
      <c r="G50">
        <v>43</v>
      </c>
      <c r="I50" t="s">
        <v>121</v>
      </c>
      <c r="J50" t="s">
        <v>17</v>
      </c>
      <c r="K50" t="b">
        <v>1</v>
      </c>
      <c r="L50">
        <v>24</v>
      </c>
      <c r="M50" t="s">
        <v>21</v>
      </c>
    </row>
    <row r="51" spans="1:13" x14ac:dyDescent="0.35">
      <c r="A51" s="2">
        <v>44949.393113425926</v>
      </c>
      <c r="B51" s="2" t="s">
        <v>1081</v>
      </c>
      <c r="C51" s="2" t="str">
        <f t="shared" si="0"/>
        <v>Monday</v>
      </c>
      <c r="D51" s="26">
        <v>0.375</v>
      </c>
      <c r="E51" t="s">
        <v>122</v>
      </c>
      <c r="F51" t="s">
        <v>12</v>
      </c>
      <c r="G51">
        <v>29</v>
      </c>
      <c r="I51" t="s">
        <v>123</v>
      </c>
      <c r="J51" t="s">
        <v>13</v>
      </c>
      <c r="K51" t="b">
        <v>0</v>
      </c>
      <c r="L51">
        <v>37</v>
      </c>
      <c r="M51" t="s">
        <v>21</v>
      </c>
    </row>
    <row r="52" spans="1:13" x14ac:dyDescent="0.35">
      <c r="A52" s="2">
        <v>44949.643564814818</v>
      </c>
      <c r="B52" s="2" t="s">
        <v>1081</v>
      </c>
      <c r="C52" s="2" t="str">
        <f t="shared" si="0"/>
        <v>Monday</v>
      </c>
      <c r="D52" s="26">
        <v>0.625</v>
      </c>
      <c r="E52" t="s">
        <v>124</v>
      </c>
      <c r="F52" t="s">
        <v>10</v>
      </c>
      <c r="G52">
        <v>57</v>
      </c>
      <c r="I52" t="s">
        <v>125</v>
      </c>
      <c r="J52" t="s">
        <v>11</v>
      </c>
      <c r="K52" t="b">
        <v>1</v>
      </c>
      <c r="L52">
        <v>60</v>
      </c>
      <c r="M52" t="s">
        <v>21</v>
      </c>
    </row>
    <row r="53" spans="1:13" x14ac:dyDescent="0.35">
      <c r="A53" s="2">
        <v>44949.834502314814</v>
      </c>
      <c r="B53" s="2" t="s">
        <v>1081</v>
      </c>
      <c r="C53" s="2" t="str">
        <f t="shared" si="0"/>
        <v>Monday</v>
      </c>
      <c r="D53" s="26">
        <v>0.83333333333333337</v>
      </c>
      <c r="E53" t="s">
        <v>126</v>
      </c>
      <c r="F53" t="s">
        <v>10</v>
      </c>
      <c r="G53">
        <v>50</v>
      </c>
      <c r="I53" t="s">
        <v>127</v>
      </c>
      <c r="J53" t="s">
        <v>18</v>
      </c>
      <c r="K53" t="b">
        <v>1</v>
      </c>
      <c r="L53">
        <v>29</v>
      </c>
      <c r="M53" t="s">
        <v>21</v>
      </c>
    </row>
    <row r="54" spans="1:13" x14ac:dyDescent="0.35">
      <c r="A54" s="2">
        <v>44950.576053240744</v>
      </c>
      <c r="B54" s="2" t="s">
        <v>1081</v>
      </c>
      <c r="C54" s="2" t="str">
        <f t="shared" si="0"/>
        <v>Tuesday</v>
      </c>
      <c r="D54" s="26">
        <v>0.54166666666666663</v>
      </c>
      <c r="E54" t="s">
        <v>128</v>
      </c>
      <c r="F54" t="s">
        <v>12</v>
      </c>
      <c r="G54">
        <v>29</v>
      </c>
      <c r="I54" t="s">
        <v>129</v>
      </c>
      <c r="J54" t="s">
        <v>13</v>
      </c>
      <c r="K54" t="b">
        <v>0</v>
      </c>
      <c r="L54">
        <v>41</v>
      </c>
      <c r="M54" t="s">
        <v>21</v>
      </c>
    </row>
    <row r="55" spans="1:13" x14ac:dyDescent="0.35">
      <c r="A55" s="2">
        <v>44950.811527777776</v>
      </c>
      <c r="B55" s="2" t="s">
        <v>1081</v>
      </c>
      <c r="C55" s="2" t="str">
        <f t="shared" si="0"/>
        <v>Tuesday</v>
      </c>
      <c r="D55" s="26">
        <v>0.79166666666666663</v>
      </c>
      <c r="E55" t="s">
        <v>130</v>
      </c>
      <c r="F55" t="s">
        <v>12</v>
      </c>
      <c r="G55">
        <v>35</v>
      </c>
      <c r="I55" t="s">
        <v>131</v>
      </c>
      <c r="J55" t="s">
        <v>16</v>
      </c>
      <c r="K55" t="b">
        <v>0</v>
      </c>
      <c r="L55">
        <v>54</v>
      </c>
      <c r="M55" t="s">
        <v>21</v>
      </c>
    </row>
    <row r="56" spans="1:13" x14ac:dyDescent="0.35">
      <c r="A56" s="2">
        <v>44951.800416666665</v>
      </c>
      <c r="B56" s="2" t="s">
        <v>1081</v>
      </c>
      <c r="C56" s="2" t="str">
        <f t="shared" si="0"/>
        <v>Wednesday</v>
      </c>
      <c r="D56" s="26">
        <v>0.79166666666666663</v>
      </c>
      <c r="E56" t="s">
        <v>132</v>
      </c>
      <c r="F56" t="s">
        <v>12</v>
      </c>
      <c r="G56">
        <v>65</v>
      </c>
      <c r="I56" t="s">
        <v>133</v>
      </c>
      <c r="J56" t="s">
        <v>15</v>
      </c>
      <c r="K56" t="b">
        <v>1</v>
      </c>
      <c r="L56">
        <v>11</v>
      </c>
      <c r="M56" t="s">
        <v>21</v>
      </c>
    </row>
    <row r="57" spans="1:13" x14ac:dyDescent="0.35">
      <c r="A57" s="2">
        <v>44952.966226851851</v>
      </c>
      <c r="B57" s="2" t="s">
        <v>1081</v>
      </c>
      <c r="C57" s="2" t="str">
        <f t="shared" si="0"/>
        <v>Thursday</v>
      </c>
      <c r="D57" s="26">
        <v>0.95833333333333337</v>
      </c>
      <c r="E57" t="s">
        <v>134</v>
      </c>
      <c r="F57" t="s">
        <v>10</v>
      </c>
      <c r="G57">
        <v>33</v>
      </c>
      <c r="I57" t="s">
        <v>135</v>
      </c>
      <c r="J57" t="s">
        <v>17</v>
      </c>
      <c r="K57" t="b">
        <v>1</v>
      </c>
      <c r="L57">
        <v>25</v>
      </c>
      <c r="M57" t="s">
        <v>21</v>
      </c>
    </row>
    <row r="58" spans="1:13" x14ac:dyDescent="0.35">
      <c r="A58" s="2">
        <v>44953.040324074071</v>
      </c>
      <c r="B58" s="2" t="s">
        <v>1081</v>
      </c>
      <c r="C58" s="2" t="str">
        <f t="shared" si="0"/>
        <v>Friday</v>
      </c>
      <c r="D58" s="26">
        <v>0</v>
      </c>
      <c r="E58" t="s">
        <v>136</v>
      </c>
      <c r="F58" t="s">
        <v>10</v>
      </c>
      <c r="G58">
        <v>30</v>
      </c>
      <c r="I58" t="s">
        <v>137</v>
      </c>
      <c r="J58" t="s">
        <v>16</v>
      </c>
      <c r="K58" t="b">
        <v>1</v>
      </c>
      <c r="L58">
        <v>15</v>
      </c>
      <c r="M58" t="s">
        <v>21</v>
      </c>
    </row>
    <row r="59" spans="1:13" x14ac:dyDescent="0.35">
      <c r="A59" s="2">
        <v>44953.181851851848</v>
      </c>
      <c r="B59" s="2" t="s">
        <v>1081</v>
      </c>
      <c r="C59" s="2" t="str">
        <f t="shared" si="0"/>
        <v>Friday</v>
      </c>
      <c r="D59" s="26">
        <v>0.16666666666666666</v>
      </c>
      <c r="E59" t="s">
        <v>138</v>
      </c>
      <c r="F59" t="s">
        <v>10</v>
      </c>
      <c r="G59">
        <v>26</v>
      </c>
      <c r="H59">
        <v>6</v>
      </c>
      <c r="I59" t="s">
        <v>139</v>
      </c>
      <c r="J59" t="s">
        <v>13</v>
      </c>
      <c r="K59" t="b">
        <v>1</v>
      </c>
      <c r="L59">
        <v>57</v>
      </c>
      <c r="M59" t="s">
        <v>21</v>
      </c>
    </row>
    <row r="60" spans="1:13" x14ac:dyDescent="0.35">
      <c r="A60" s="2">
        <v>44954.126863425925</v>
      </c>
      <c r="B60" s="2" t="s">
        <v>1081</v>
      </c>
      <c r="C60" s="2" t="str">
        <f t="shared" si="0"/>
        <v>Saturday</v>
      </c>
      <c r="D60" s="26">
        <v>0.125</v>
      </c>
      <c r="E60" t="s">
        <v>141</v>
      </c>
      <c r="F60" t="s">
        <v>12</v>
      </c>
      <c r="G60">
        <v>16</v>
      </c>
      <c r="I60" t="s">
        <v>142</v>
      </c>
      <c r="J60" t="s">
        <v>15</v>
      </c>
      <c r="K60" t="b">
        <v>1</v>
      </c>
      <c r="L60">
        <v>59</v>
      </c>
      <c r="M60" t="s">
        <v>21</v>
      </c>
    </row>
    <row r="61" spans="1:13" x14ac:dyDescent="0.35">
      <c r="A61" s="2">
        <v>44954.187361111108</v>
      </c>
      <c r="B61" s="2" t="s">
        <v>1081</v>
      </c>
      <c r="C61" s="2" t="str">
        <f t="shared" si="0"/>
        <v>Saturday</v>
      </c>
      <c r="D61" s="26">
        <v>0.16666666666666666</v>
      </c>
      <c r="E61" t="s">
        <v>143</v>
      </c>
      <c r="F61" t="s">
        <v>12</v>
      </c>
      <c r="G61">
        <v>72</v>
      </c>
      <c r="I61" t="s">
        <v>144</v>
      </c>
      <c r="J61" t="s">
        <v>13</v>
      </c>
      <c r="K61" t="b">
        <v>1</v>
      </c>
      <c r="L61">
        <v>31</v>
      </c>
      <c r="M61" t="s">
        <v>21</v>
      </c>
    </row>
    <row r="62" spans="1:13" x14ac:dyDescent="0.35">
      <c r="A62" s="2">
        <v>44955.329837962963</v>
      </c>
      <c r="B62" s="2" t="s">
        <v>1081</v>
      </c>
      <c r="C62" s="2" t="str">
        <f t="shared" si="0"/>
        <v>Sunday</v>
      </c>
      <c r="D62" s="26">
        <v>0.29166666666666669</v>
      </c>
      <c r="E62" t="s">
        <v>145</v>
      </c>
      <c r="F62" t="s">
        <v>12</v>
      </c>
      <c r="G62">
        <v>46</v>
      </c>
      <c r="I62" t="s">
        <v>146</v>
      </c>
      <c r="J62" t="s">
        <v>17</v>
      </c>
      <c r="K62" t="b">
        <v>1</v>
      </c>
      <c r="L62">
        <v>47</v>
      </c>
      <c r="M62" t="s">
        <v>21</v>
      </c>
    </row>
    <row r="63" spans="1:13" x14ac:dyDescent="0.35">
      <c r="A63" s="2">
        <v>44955.341041666667</v>
      </c>
      <c r="B63" s="2" t="s">
        <v>1081</v>
      </c>
      <c r="C63" s="2" t="str">
        <f t="shared" si="0"/>
        <v>Sunday</v>
      </c>
      <c r="D63" s="26">
        <v>0.33333333333333331</v>
      </c>
      <c r="E63" t="s">
        <v>147</v>
      </c>
      <c r="F63" t="s">
        <v>10</v>
      </c>
      <c r="G63">
        <v>74</v>
      </c>
      <c r="I63" t="s">
        <v>148</v>
      </c>
      <c r="J63" t="s">
        <v>11</v>
      </c>
      <c r="K63" t="b">
        <v>0</v>
      </c>
      <c r="L63">
        <v>58</v>
      </c>
      <c r="M63" t="s">
        <v>21</v>
      </c>
    </row>
    <row r="64" spans="1:13" x14ac:dyDescent="0.35">
      <c r="A64" s="2">
        <v>44955.983495370368</v>
      </c>
      <c r="B64" s="2" t="s">
        <v>1081</v>
      </c>
      <c r="C64" s="2" t="str">
        <f t="shared" si="0"/>
        <v>Sunday</v>
      </c>
      <c r="D64" s="26">
        <v>0.95833333333333337</v>
      </c>
      <c r="E64" t="s">
        <v>149</v>
      </c>
      <c r="F64" t="s">
        <v>12</v>
      </c>
      <c r="G64">
        <v>44</v>
      </c>
      <c r="H64">
        <v>2</v>
      </c>
      <c r="I64" t="s">
        <v>150</v>
      </c>
      <c r="J64" t="s">
        <v>18</v>
      </c>
      <c r="K64" t="b">
        <v>0</v>
      </c>
      <c r="L64">
        <v>56</v>
      </c>
      <c r="M64" t="s">
        <v>21</v>
      </c>
    </row>
    <row r="65" spans="1:13" x14ac:dyDescent="0.35">
      <c r="A65" s="2">
        <v>44957.242384259262</v>
      </c>
      <c r="B65" s="2" t="s">
        <v>1081</v>
      </c>
      <c r="C65" s="2" t="str">
        <f t="shared" si="0"/>
        <v>Tuesday</v>
      </c>
      <c r="D65" s="26">
        <v>0.20833333333333334</v>
      </c>
      <c r="E65" t="s">
        <v>151</v>
      </c>
      <c r="F65" t="s">
        <v>12</v>
      </c>
      <c r="G65">
        <v>77</v>
      </c>
      <c r="I65" t="s">
        <v>152</v>
      </c>
      <c r="J65" t="s">
        <v>16</v>
      </c>
      <c r="K65" t="b">
        <v>1</v>
      </c>
      <c r="L65">
        <v>14</v>
      </c>
      <c r="M65" t="s">
        <v>21</v>
      </c>
    </row>
    <row r="66" spans="1:13" x14ac:dyDescent="0.35">
      <c r="A66" s="2">
        <v>44957.686608796299</v>
      </c>
      <c r="B66" s="2" t="s">
        <v>1081</v>
      </c>
      <c r="C66" s="2" t="str">
        <f t="shared" si="0"/>
        <v>Tuesday</v>
      </c>
      <c r="D66" s="26">
        <v>0.66666666666666663</v>
      </c>
      <c r="E66" t="s">
        <v>153</v>
      </c>
      <c r="F66" t="s">
        <v>12</v>
      </c>
      <c r="G66">
        <v>32</v>
      </c>
      <c r="I66" t="s">
        <v>154</v>
      </c>
      <c r="J66" t="s">
        <v>11</v>
      </c>
      <c r="K66" t="b">
        <v>0</v>
      </c>
      <c r="L66">
        <v>33</v>
      </c>
      <c r="M66" t="s">
        <v>21</v>
      </c>
    </row>
    <row r="67" spans="1:13" x14ac:dyDescent="0.35">
      <c r="A67" s="2">
        <v>44958.126296296294</v>
      </c>
      <c r="B67" s="2" t="s">
        <v>1082</v>
      </c>
      <c r="C67" s="2" t="str">
        <f t="shared" ref="C67:C130" si="1">TEXT(A67,"dddd")</f>
        <v>Wednesday</v>
      </c>
      <c r="D67" s="26">
        <v>0.125</v>
      </c>
      <c r="E67" t="s">
        <v>155</v>
      </c>
      <c r="F67" t="s">
        <v>10</v>
      </c>
      <c r="G67">
        <v>8</v>
      </c>
      <c r="I67" t="s">
        <v>156</v>
      </c>
      <c r="J67" t="s">
        <v>18</v>
      </c>
      <c r="K67" t="b">
        <v>0</v>
      </c>
      <c r="L67">
        <v>33</v>
      </c>
      <c r="M67" t="s">
        <v>21</v>
      </c>
    </row>
    <row r="68" spans="1:13" x14ac:dyDescent="0.35">
      <c r="A68" s="2">
        <v>44958.283113425925</v>
      </c>
      <c r="B68" s="2" t="s">
        <v>1082</v>
      </c>
      <c r="C68" s="2" t="str">
        <f t="shared" si="1"/>
        <v>Wednesday</v>
      </c>
      <c r="D68" s="26">
        <v>0.25</v>
      </c>
      <c r="E68" t="s">
        <v>158</v>
      </c>
      <c r="F68" t="s">
        <v>12</v>
      </c>
      <c r="G68">
        <v>66</v>
      </c>
      <c r="H68">
        <v>1</v>
      </c>
      <c r="I68" t="s">
        <v>159</v>
      </c>
      <c r="J68" t="s">
        <v>11</v>
      </c>
      <c r="K68" t="b">
        <v>0</v>
      </c>
      <c r="L68">
        <v>16</v>
      </c>
      <c r="M68" t="s">
        <v>21</v>
      </c>
    </row>
    <row r="69" spans="1:13" x14ac:dyDescent="0.35">
      <c r="A69" s="2">
        <v>44959.018946759257</v>
      </c>
      <c r="B69" s="2" t="s">
        <v>1082</v>
      </c>
      <c r="C69" s="2" t="str">
        <f t="shared" si="1"/>
        <v>Thursday</v>
      </c>
      <c r="D69" s="26">
        <v>0</v>
      </c>
      <c r="E69" t="s">
        <v>160</v>
      </c>
      <c r="F69" t="s">
        <v>12</v>
      </c>
      <c r="G69">
        <v>52</v>
      </c>
      <c r="I69" t="s">
        <v>161</v>
      </c>
      <c r="J69" t="s">
        <v>15</v>
      </c>
      <c r="K69" t="b">
        <v>1</v>
      </c>
      <c r="L69">
        <v>58</v>
      </c>
      <c r="M69" t="s">
        <v>21</v>
      </c>
    </row>
    <row r="70" spans="1:13" x14ac:dyDescent="0.35">
      <c r="A70" s="2">
        <v>44960.2893287037</v>
      </c>
      <c r="B70" s="2" t="s">
        <v>1082</v>
      </c>
      <c r="C70" s="2" t="str">
        <f t="shared" si="1"/>
        <v>Friday</v>
      </c>
      <c r="D70" s="26">
        <v>0.25</v>
      </c>
      <c r="E70" t="s">
        <v>162</v>
      </c>
      <c r="F70" t="s">
        <v>10</v>
      </c>
      <c r="G70">
        <v>46</v>
      </c>
      <c r="H70">
        <v>5</v>
      </c>
      <c r="I70" t="s">
        <v>163</v>
      </c>
      <c r="J70" t="s">
        <v>13</v>
      </c>
      <c r="K70" t="b">
        <v>0</v>
      </c>
      <c r="L70">
        <v>32</v>
      </c>
      <c r="M70" t="s">
        <v>21</v>
      </c>
    </row>
    <row r="71" spans="1:13" x14ac:dyDescent="0.35">
      <c r="A71" s="2">
        <v>44960.442314814813</v>
      </c>
      <c r="B71" s="2" t="s">
        <v>1082</v>
      </c>
      <c r="C71" s="2" t="str">
        <f t="shared" si="1"/>
        <v>Friday</v>
      </c>
      <c r="D71" s="26">
        <v>0.41666666666666669</v>
      </c>
      <c r="E71" t="s">
        <v>164</v>
      </c>
      <c r="F71" t="s">
        <v>12</v>
      </c>
      <c r="G71">
        <v>54</v>
      </c>
      <c r="I71" t="s">
        <v>165</v>
      </c>
      <c r="J71" t="s">
        <v>11</v>
      </c>
      <c r="K71" t="b">
        <v>0</v>
      </c>
      <c r="L71">
        <v>19</v>
      </c>
      <c r="M71" t="s">
        <v>21</v>
      </c>
    </row>
    <row r="72" spans="1:13" x14ac:dyDescent="0.35">
      <c r="A72" s="2">
        <v>44961.292187500003</v>
      </c>
      <c r="B72" s="2" t="s">
        <v>1082</v>
      </c>
      <c r="C72" s="2" t="str">
        <f t="shared" si="1"/>
        <v>Saturday</v>
      </c>
      <c r="D72" s="26">
        <v>0.29166666666666669</v>
      </c>
      <c r="E72" t="s">
        <v>166</v>
      </c>
      <c r="F72" t="s">
        <v>10</v>
      </c>
      <c r="G72">
        <v>24</v>
      </c>
      <c r="I72" t="s">
        <v>167</v>
      </c>
      <c r="J72" t="s">
        <v>16</v>
      </c>
      <c r="K72" t="b">
        <v>0</v>
      </c>
      <c r="L72">
        <v>30</v>
      </c>
      <c r="M72" t="s">
        <v>21</v>
      </c>
    </row>
    <row r="73" spans="1:13" x14ac:dyDescent="0.35">
      <c r="A73" s="2">
        <v>44962.06962962963</v>
      </c>
      <c r="B73" s="2" t="s">
        <v>1082</v>
      </c>
      <c r="C73" s="2" t="str">
        <f t="shared" si="1"/>
        <v>Sunday</v>
      </c>
      <c r="D73" s="26">
        <v>4.1666666666666664E-2</v>
      </c>
      <c r="E73" t="s">
        <v>168</v>
      </c>
      <c r="F73" t="s">
        <v>10</v>
      </c>
      <c r="G73">
        <v>33</v>
      </c>
      <c r="I73" t="s">
        <v>169</v>
      </c>
      <c r="J73" t="s">
        <v>16</v>
      </c>
      <c r="K73" t="b">
        <v>1</v>
      </c>
      <c r="L73">
        <v>35</v>
      </c>
      <c r="M73" t="s">
        <v>21</v>
      </c>
    </row>
    <row r="74" spans="1:13" x14ac:dyDescent="0.35">
      <c r="A74" s="2">
        <v>44962.504710648151</v>
      </c>
      <c r="B74" s="2" t="s">
        <v>1082</v>
      </c>
      <c r="C74" s="2" t="str">
        <f t="shared" si="1"/>
        <v>Sunday</v>
      </c>
      <c r="D74" s="26">
        <v>0.5</v>
      </c>
      <c r="E74" t="s">
        <v>170</v>
      </c>
      <c r="F74" t="s">
        <v>10</v>
      </c>
      <c r="G74">
        <v>48</v>
      </c>
      <c r="I74" t="s">
        <v>171</v>
      </c>
      <c r="J74" t="s">
        <v>15</v>
      </c>
      <c r="K74" t="b">
        <v>0</v>
      </c>
      <c r="L74">
        <v>42</v>
      </c>
      <c r="M74" t="s">
        <v>21</v>
      </c>
    </row>
    <row r="75" spans="1:13" x14ac:dyDescent="0.35">
      <c r="A75" s="2">
        <v>44962.698773148149</v>
      </c>
      <c r="B75" s="2" t="s">
        <v>1082</v>
      </c>
      <c r="C75" s="2" t="str">
        <f t="shared" si="1"/>
        <v>Sunday</v>
      </c>
      <c r="D75" s="26">
        <v>0.66666666666666663</v>
      </c>
      <c r="E75" t="s">
        <v>173</v>
      </c>
      <c r="F75" t="s">
        <v>10</v>
      </c>
      <c r="G75">
        <v>71</v>
      </c>
      <c r="I75" t="s">
        <v>174</v>
      </c>
      <c r="J75" t="s">
        <v>13</v>
      </c>
      <c r="K75" t="b">
        <v>1</v>
      </c>
      <c r="L75">
        <v>47</v>
      </c>
      <c r="M75" t="s">
        <v>21</v>
      </c>
    </row>
    <row r="76" spans="1:13" x14ac:dyDescent="0.35">
      <c r="A76" s="2">
        <v>44962.785810185182</v>
      </c>
      <c r="B76" s="2" t="s">
        <v>1082</v>
      </c>
      <c r="C76" s="2" t="str">
        <f t="shared" si="1"/>
        <v>Sunday</v>
      </c>
      <c r="D76" s="26">
        <v>0.75</v>
      </c>
      <c r="E76" t="s">
        <v>176</v>
      </c>
      <c r="F76" t="s">
        <v>10</v>
      </c>
      <c r="G76">
        <v>53</v>
      </c>
      <c r="I76" t="s">
        <v>177</v>
      </c>
      <c r="J76" t="s">
        <v>11</v>
      </c>
      <c r="K76" t="b">
        <v>1</v>
      </c>
      <c r="L76">
        <v>37</v>
      </c>
      <c r="M76" t="s">
        <v>21</v>
      </c>
    </row>
    <row r="77" spans="1:13" x14ac:dyDescent="0.35">
      <c r="A77" s="2">
        <v>44963.749328703707</v>
      </c>
      <c r="B77" s="2" t="s">
        <v>1082</v>
      </c>
      <c r="C77" s="2" t="str">
        <f t="shared" si="1"/>
        <v>Monday</v>
      </c>
      <c r="D77" s="26">
        <v>0.70833333333333337</v>
      </c>
      <c r="E77" t="s">
        <v>178</v>
      </c>
      <c r="F77" t="s">
        <v>10</v>
      </c>
      <c r="G77">
        <v>16</v>
      </c>
      <c r="I77" t="s">
        <v>179</v>
      </c>
      <c r="J77" t="s">
        <v>13</v>
      </c>
      <c r="K77" t="b">
        <v>1</v>
      </c>
      <c r="L77">
        <v>37</v>
      </c>
      <c r="M77" t="s">
        <v>21</v>
      </c>
    </row>
    <row r="78" spans="1:13" x14ac:dyDescent="0.35">
      <c r="A78" s="2">
        <v>44964.508611111109</v>
      </c>
      <c r="B78" s="2" t="s">
        <v>1082</v>
      </c>
      <c r="C78" s="2" t="str">
        <f t="shared" si="1"/>
        <v>Tuesday</v>
      </c>
      <c r="D78" s="26">
        <v>0.5</v>
      </c>
      <c r="E78" t="s">
        <v>180</v>
      </c>
      <c r="F78" t="s">
        <v>10</v>
      </c>
      <c r="G78">
        <v>79</v>
      </c>
      <c r="I78" t="s">
        <v>181</v>
      </c>
      <c r="J78" t="s">
        <v>13</v>
      </c>
      <c r="K78" t="b">
        <v>1</v>
      </c>
      <c r="L78">
        <v>12</v>
      </c>
      <c r="M78" t="s">
        <v>21</v>
      </c>
    </row>
    <row r="79" spans="1:13" x14ac:dyDescent="0.35">
      <c r="A79" s="2">
        <v>44965.50408564815</v>
      </c>
      <c r="B79" s="2" t="s">
        <v>1082</v>
      </c>
      <c r="C79" s="2" t="str">
        <f t="shared" si="1"/>
        <v>Wednesday</v>
      </c>
      <c r="D79" s="26">
        <v>0.5</v>
      </c>
      <c r="E79" t="s">
        <v>182</v>
      </c>
      <c r="F79" t="s">
        <v>12</v>
      </c>
      <c r="G79">
        <v>33</v>
      </c>
      <c r="H79">
        <v>4</v>
      </c>
      <c r="I79" t="s">
        <v>183</v>
      </c>
      <c r="J79" t="s">
        <v>16</v>
      </c>
      <c r="K79" t="b">
        <v>1</v>
      </c>
      <c r="L79">
        <v>48</v>
      </c>
      <c r="M79" t="s">
        <v>21</v>
      </c>
    </row>
    <row r="80" spans="1:13" x14ac:dyDescent="0.35">
      <c r="A80" s="2">
        <v>44965.770300925928</v>
      </c>
      <c r="B80" s="2" t="s">
        <v>1082</v>
      </c>
      <c r="C80" s="2" t="str">
        <f t="shared" si="1"/>
        <v>Wednesday</v>
      </c>
      <c r="D80" s="26">
        <v>0.75</v>
      </c>
      <c r="E80" t="s">
        <v>185</v>
      </c>
      <c r="F80" t="s">
        <v>10</v>
      </c>
      <c r="G80">
        <v>44</v>
      </c>
      <c r="I80" t="s">
        <v>186</v>
      </c>
      <c r="J80" t="s">
        <v>13</v>
      </c>
      <c r="K80" t="b">
        <v>1</v>
      </c>
      <c r="L80">
        <v>19</v>
      </c>
      <c r="M80" t="s">
        <v>21</v>
      </c>
    </row>
    <row r="81" spans="1:13" x14ac:dyDescent="0.35">
      <c r="A81" s="2">
        <v>44965.786273148151</v>
      </c>
      <c r="B81" s="2" t="s">
        <v>1082</v>
      </c>
      <c r="C81" s="2" t="str">
        <f t="shared" si="1"/>
        <v>Wednesday</v>
      </c>
      <c r="D81" s="26">
        <v>0.75</v>
      </c>
      <c r="E81" t="s">
        <v>187</v>
      </c>
      <c r="F81" t="s">
        <v>10</v>
      </c>
      <c r="G81">
        <v>35</v>
      </c>
      <c r="H81">
        <v>9</v>
      </c>
      <c r="I81" t="s">
        <v>188</v>
      </c>
      <c r="J81" t="s">
        <v>16</v>
      </c>
      <c r="K81" t="b">
        <v>1</v>
      </c>
      <c r="L81">
        <v>42</v>
      </c>
      <c r="M81" t="s">
        <v>21</v>
      </c>
    </row>
    <row r="82" spans="1:13" x14ac:dyDescent="0.35">
      <c r="A82" s="2">
        <v>44965.922222222223</v>
      </c>
      <c r="B82" s="2" t="s">
        <v>1082</v>
      </c>
      <c r="C82" s="2" t="str">
        <f t="shared" si="1"/>
        <v>Wednesday</v>
      </c>
      <c r="D82" s="26">
        <v>0.91666666666666663</v>
      </c>
      <c r="E82" t="s">
        <v>189</v>
      </c>
      <c r="F82" t="s">
        <v>12</v>
      </c>
      <c r="G82">
        <v>40</v>
      </c>
      <c r="I82" t="s">
        <v>190</v>
      </c>
      <c r="J82" t="s">
        <v>13</v>
      </c>
      <c r="K82" t="b">
        <v>1</v>
      </c>
      <c r="L82">
        <v>19</v>
      </c>
      <c r="M82" t="s">
        <v>21</v>
      </c>
    </row>
    <row r="83" spans="1:13" x14ac:dyDescent="0.35">
      <c r="A83" s="2">
        <v>44965.930451388886</v>
      </c>
      <c r="B83" s="2" t="s">
        <v>1082</v>
      </c>
      <c r="C83" s="2" t="str">
        <f t="shared" si="1"/>
        <v>Wednesday</v>
      </c>
      <c r="D83" s="26">
        <v>0.91666666666666663</v>
      </c>
      <c r="E83" t="s">
        <v>191</v>
      </c>
      <c r="F83" t="s">
        <v>12</v>
      </c>
      <c r="G83">
        <v>41</v>
      </c>
      <c r="H83">
        <v>4</v>
      </c>
      <c r="I83" t="s">
        <v>192</v>
      </c>
      <c r="J83" t="s">
        <v>16</v>
      </c>
      <c r="K83" t="b">
        <v>0</v>
      </c>
      <c r="L83">
        <v>49</v>
      </c>
      <c r="M83" t="s">
        <v>21</v>
      </c>
    </row>
    <row r="84" spans="1:13" x14ac:dyDescent="0.35">
      <c r="A84" s="2">
        <v>44966.516817129632</v>
      </c>
      <c r="B84" s="2" t="s">
        <v>1082</v>
      </c>
      <c r="C84" s="2" t="str">
        <f t="shared" si="1"/>
        <v>Thursday</v>
      </c>
      <c r="D84" s="26">
        <v>0.5</v>
      </c>
      <c r="E84" t="s">
        <v>193</v>
      </c>
      <c r="F84" t="s">
        <v>10</v>
      </c>
      <c r="G84">
        <v>40</v>
      </c>
      <c r="I84" t="s">
        <v>194</v>
      </c>
      <c r="J84" t="s">
        <v>15</v>
      </c>
      <c r="K84" t="b">
        <v>1</v>
      </c>
      <c r="L84">
        <v>33</v>
      </c>
      <c r="M84" t="s">
        <v>21</v>
      </c>
    </row>
    <row r="85" spans="1:13" x14ac:dyDescent="0.35">
      <c r="A85" s="2">
        <v>44967.209814814814</v>
      </c>
      <c r="B85" s="2" t="s">
        <v>1082</v>
      </c>
      <c r="C85" s="2" t="str">
        <f t="shared" si="1"/>
        <v>Friday</v>
      </c>
      <c r="D85" s="26">
        <v>0.20833333333333334</v>
      </c>
      <c r="E85" t="s">
        <v>195</v>
      </c>
      <c r="F85" t="s">
        <v>12</v>
      </c>
      <c r="G85">
        <v>71</v>
      </c>
      <c r="I85" t="s">
        <v>196</v>
      </c>
      <c r="J85" t="s">
        <v>15</v>
      </c>
      <c r="K85" t="b">
        <v>1</v>
      </c>
      <c r="L85">
        <v>29</v>
      </c>
      <c r="M85" t="s">
        <v>21</v>
      </c>
    </row>
    <row r="86" spans="1:13" x14ac:dyDescent="0.35">
      <c r="A86" s="2">
        <v>44967.396516203706</v>
      </c>
      <c r="B86" s="2" t="s">
        <v>1082</v>
      </c>
      <c r="C86" s="2" t="str">
        <f t="shared" si="1"/>
        <v>Friday</v>
      </c>
      <c r="D86" s="26">
        <v>0.375</v>
      </c>
      <c r="E86" t="s">
        <v>197</v>
      </c>
      <c r="F86" t="s">
        <v>10</v>
      </c>
      <c r="G86">
        <v>30</v>
      </c>
      <c r="I86" t="s">
        <v>198</v>
      </c>
      <c r="J86" t="s">
        <v>14</v>
      </c>
      <c r="K86" t="b">
        <v>1</v>
      </c>
      <c r="L86">
        <v>49</v>
      </c>
      <c r="M86" t="s">
        <v>21</v>
      </c>
    </row>
    <row r="87" spans="1:13" x14ac:dyDescent="0.35">
      <c r="A87" s="2">
        <v>44967.430034722223</v>
      </c>
      <c r="B87" s="2" t="s">
        <v>1082</v>
      </c>
      <c r="C87" s="2" t="str">
        <f t="shared" si="1"/>
        <v>Friday</v>
      </c>
      <c r="D87" s="26">
        <v>0.41666666666666669</v>
      </c>
      <c r="E87" t="s">
        <v>199</v>
      </c>
      <c r="F87" t="s">
        <v>10</v>
      </c>
      <c r="G87">
        <v>76</v>
      </c>
      <c r="I87" t="s">
        <v>200</v>
      </c>
      <c r="J87" t="s">
        <v>16</v>
      </c>
      <c r="K87" t="b">
        <v>0</v>
      </c>
      <c r="L87">
        <v>34</v>
      </c>
      <c r="M87" t="s">
        <v>21</v>
      </c>
    </row>
    <row r="88" spans="1:13" x14ac:dyDescent="0.35">
      <c r="A88" s="2">
        <v>44967.47446759259</v>
      </c>
      <c r="B88" s="2" t="s">
        <v>1082</v>
      </c>
      <c r="C88" s="2" t="str">
        <f t="shared" si="1"/>
        <v>Friday</v>
      </c>
      <c r="D88" s="26">
        <v>0.45833333333333331</v>
      </c>
      <c r="E88" t="s">
        <v>201</v>
      </c>
      <c r="F88" t="s">
        <v>12</v>
      </c>
      <c r="G88">
        <v>58</v>
      </c>
      <c r="I88" t="s">
        <v>202</v>
      </c>
      <c r="J88" t="s">
        <v>13</v>
      </c>
      <c r="K88" t="b">
        <v>1</v>
      </c>
      <c r="L88">
        <v>19</v>
      </c>
      <c r="M88" t="s">
        <v>21</v>
      </c>
    </row>
    <row r="89" spans="1:13" x14ac:dyDescent="0.35">
      <c r="A89" s="2">
        <v>44967.980208333334</v>
      </c>
      <c r="B89" s="2" t="s">
        <v>1082</v>
      </c>
      <c r="C89" s="2" t="str">
        <f t="shared" si="1"/>
        <v>Friday</v>
      </c>
      <c r="D89" s="26">
        <v>0.95833333333333337</v>
      </c>
      <c r="E89" t="s">
        <v>203</v>
      </c>
      <c r="F89" t="s">
        <v>12</v>
      </c>
      <c r="G89">
        <v>42</v>
      </c>
      <c r="I89" t="s">
        <v>204</v>
      </c>
      <c r="J89" t="s">
        <v>11</v>
      </c>
      <c r="K89" t="b">
        <v>0</v>
      </c>
      <c r="L89">
        <v>56</v>
      </c>
      <c r="M89" t="s">
        <v>21</v>
      </c>
    </row>
    <row r="90" spans="1:13" x14ac:dyDescent="0.35">
      <c r="A90" s="2">
        <v>44968.05740740741</v>
      </c>
      <c r="B90" s="2" t="s">
        <v>1082</v>
      </c>
      <c r="C90" s="2" t="str">
        <f t="shared" si="1"/>
        <v>Saturday</v>
      </c>
      <c r="D90" s="26">
        <v>4.1666666666666664E-2</v>
      </c>
      <c r="E90" t="s">
        <v>205</v>
      </c>
      <c r="F90" t="s">
        <v>10</v>
      </c>
      <c r="G90">
        <v>74</v>
      </c>
      <c r="I90" t="s">
        <v>206</v>
      </c>
      <c r="J90" t="s">
        <v>13</v>
      </c>
      <c r="K90" t="b">
        <v>0</v>
      </c>
      <c r="L90">
        <v>53</v>
      </c>
      <c r="M90" t="s">
        <v>21</v>
      </c>
    </row>
    <row r="91" spans="1:13" x14ac:dyDescent="0.35">
      <c r="A91" s="2">
        <v>44968.064062500001</v>
      </c>
      <c r="B91" s="2" t="s">
        <v>1082</v>
      </c>
      <c r="C91" s="2" t="str">
        <f t="shared" si="1"/>
        <v>Saturday</v>
      </c>
      <c r="D91" s="26">
        <v>4.1666666666666664E-2</v>
      </c>
      <c r="E91" t="s">
        <v>207</v>
      </c>
      <c r="F91" t="s">
        <v>12</v>
      </c>
      <c r="G91">
        <v>46</v>
      </c>
      <c r="I91" t="s">
        <v>208</v>
      </c>
      <c r="J91" t="s">
        <v>11</v>
      </c>
      <c r="K91" t="b">
        <v>1</v>
      </c>
      <c r="L91">
        <v>12</v>
      </c>
      <c r="M91" t="s">
        <v>21</v>
      </c>
    </row>
    <row r="92" spans="1:13" x14ac:dyDescent="0.35">
      <c r="A92" s="2">
        <v>44968.597557870373</v>
      </c>
      <c r="B92" s="2" t="s">
        <v>1082</v>
      </c>
      <c r="C92" s="2" t="str">
        <f t="shared" si="1"/>
        <v>Saturday</v>
      </c>
      <c r="D92" s="26">
        <v>0.58333333333333337</v>
      </c>
      <c r="E92" t="s">
        <v>209</v>
      </c>
      <c r="F92" t="s">
        <v>10</v>
      </c>
      <c r="G92">
        <v>72</v>
      </c>
      <c r="H92">
        <v>9</v>
      </c>
      <c r="I92" t="s">
        <v>210</v>
      </c>
      <c r="J92" t="s">
        <v>18</v>
      </c>
      <c r="K92" t="b">
        <v>1</v>
      </c>
      <c r="L92">
        <v>47</v>
      </c>
      <c r="M92" t="s">
        <v>21</v>
      </c>
    </row>
    <row r="93" spans="1:13" x14ac:dyDescent="0.35">
      <c r="A93" s="2">
        <v>44969.836238425924</v>
      </c>
      <c r="B93" s="2" t="s">
        <v>1082</v>
      </c>
      <c r="C93" s="2" t="str">
        <f t="shared" si="1"/>
        <v>Sunday</v>
      </c>
      <c r="D93" s="26">
        <v>0.83333333333333337</v>
      </c>
      <c r="E93" t="s">
        <v>211</v>
      </c>
      <c r="F93" t="s">
        <v>10</v>
      </c>
      <c r="G93">
        <v>65</v>
      </c>
      <c r="I93" t="s">
        <v>212</v>
      </c>
      <c r="J93" t="s">
        <v>13</v>
      </c>
      <c r="K93" t="b">
        <v>0</v>
      </c>
      <c r="L93">
        <v>14</v>
      </c>
      <c r="M93" t="s">
        <v>21</v>
      </c>
    </row>
    <row r="94" spans="1:13" x14ac:dyDescent="0.35">
      <c r="A94" s="2">
        <v>44971.348634259259</v>
      </c>
      <c r="B94" s="2" t="s">
        <v>1082</v>
      </c>
      <c r="C94" s="2" t="str">
        <f t="shared" si="1"/>
        <v>Tuesday</v>
      </c>
      <c r="D94" s="26">
        <v>0.33333333333333331</v>
      </c>
      <c r="E94" t="s">
        <v>214</v>
      </c>
      <c r="F94" t="s">
        <v>12</v>
      </c>
      <c r="G94">
        <v>25</v>
      </c>
      <c r="I94" t="s">
        <v>215</v>
      </c>
      <c r="J94" t="s">
        <v>15</v>
      </c>
      <c r="K94" t="b">
        <v>0</v>
      </c>
      <c r="L94">
        <v>52</v>
      </c>
      <c r="M94" t="s">
        <v>21</v>
      </c>
    </row>
    <row r="95" spans="1:13" x14ac:dyDescent="0.35">
      <c r="A95" s="2">
        <v>44971.991087962961</v>
      </c>
      <c r="B95" s="2" t="s">
        <v>1082</v>
      </c>
      <c r="C95" s="2" t="str">
        <f t="shared" si="1"/>
        <v>Tuesday</v>
      </c>
      <c r="D95" s="26">
        <v>0.95833333333333337</v>
      </c>
      <c r="E95" t="s">
        <v>216</v>
      </c>
      <c r="F95" t="s">
        <v>12</v>
      </c>
      <c r="G95">
        <v>25</v>
      </c>
      <c r="I95" t="s">
        <v>217</v>
      </c>
      <c r="J95" t="s">
        <v>13</v>
      </c>
      <c r="K95" t="b">
        <v>1</v>
      </c>
      <c r="L95">
        <v>20</v>
      </c>
      <c r="M95" t="s">
        <v>21</v>
      </c>
    </row>
    <row r="96" spans="1:13" x14ac:dyDescent="0.35">
      <c r="A96" s="2">
        <v>44972.397974537038</v>
      </c>
      <c r="B96" s="2" t="s">
        <v>1082</v>
      </c>
      <c r="C96" s="2" t="str">
        <f t="shared" si="1"/>
        <v>Wednesday</v>
      </c>
      <c r="D96" s="26">
        <v>0.375</v>
      </c>
      <c r="E96" t="s">
        <v>218</v>
      </c>
      <c r="F96" t="s">
        <v>12</v>
      </c>
      <c r="G96">
        <v>47</v>
      </c>
      <c r="H96">
        <v>5</v>
      </c>
      <c r="I96" t="s">
        <v>219</v>
      </c>
      <c r="J96" t="s">
        <v>15</v>
      </c>
      <c r="K96" t="b">
        <v>0</v>
      </c>
      <c r="L96">
        <v>24</v>
      </c>
      <c r="M96" t="s">
        <v>21</v>
      </c>
    </row>
    <row r="97" spans="1:13" x14ac:dyDescent="0.35">
      <c r="A97" s="2">
        <v>44973.33697916667</v>
      </c>
      <c r="B97" s="2" t="s">
        <v>1082</v>
      </c>
      <c r="C97" s="2" t="str">
        <f t="shared" si="1"/>
        <v>Thursday</v>
      </c>
      <c r="D97" s="26">
        <v>0.33333333333333331</v>
      </c>
      <c r="E97" t="s">
        <v>221</v>
      </c>
      <c r="F97" t="s">
        <v>10</v>
      </c>
      <c r="G97">
        <v>78</v>
      </c>
      <c r="H97">
        <v>1</v>
      </c>
      <c r="I97" t="s">
        <v>222</v>
      </c>
      <c r="J97" t="s">
        <v>17</v>
      </c>
      <c r="K97" t="b">
        <v>1</v>
      </c>
      <c r="L97">
        <v>28</v>
      </c>
      <c r="M97" t="s">
        <v>21</v>
      </c>
    </row>
    <row r="98" spans="1:13" x14ac:dyDescent="0.35">
      <c r="A98" s="2">
        <v>44974.910300925927</v>
      </c>
      <c r="B98" s="2" t="s">
        <v>1082</v>
      </c>
      <c r="C98" s="2" t="str">
        <f t="shared" si="1"/>
        <v>Friday</v>
      </c>
      <c r="D98" s="26">
        <v>0.875</v>
      </c>
      <c r="E98" t="s">
        <v>223</v>
      </c>
      <c r="F98" t="s">
        <v>10</v>
      </c>
      <c r="G98">
        <v>31</v>
      </c>
      <c r="I98" t="s">
        <v>224</v>
      </c>
      <c r="J98" t="s">
        <v>13</v>
      </c>
      <c r="K98" t="b">
        <v>1</v>
      </c>
      <c r="L98">
        <v>49</v>
      </c>
      <c r="M98" t="s">
        <v>21</v>
      </c>
    </row>
    <row r="99" spans="1:13" x14ac:dyDescent="0.35">
      <c r="A99" s="2">
        <v>44976.163391203707</v>
      </c>
      <c r="B99" s="2" t="s">
        <v>1082</v>
      </c>
      <c r="C99" s="2" t="str">
        <f t="shared" si="1"/>
        <v>Sunday</v>
      </c>
      <c r="D99" s="26">
        <v>0.125</v>
      </c>
      <c r="E99" t="s">
        <v>226</v>
      </c>
      <c r="F99" t="s">
        <v>12</v>
      </c>
      <c r="G99">
        <v>54</v>
      </c>
      <c r="I99" t="s">
        <v>227</v>
      </c>
      <c r="J99" t="s">
        <v>17</v>
      </c>
      <c r="K99" t="b">
        <v>1</v>
      </c>
      <c r="L99">
        <v>15</v>
      </c>
      <c r="M99" t="s">
        <v>21</v>
      </c>
    </row>
    <row r="100" spans="1:13" x14ac:dyDescent="0.35">
      <c r="A100" s="2">
        <v>44976.418819444443</v>
      </c>
      <c r="B100" s="2" t="s">
        <v>1082</v>
      </c>
      <c r="C100" s="2" t="str">
        <f t="shared" si="1"/>
        <v>Sunday</v>
      </c>
      <c r="D100" s="26">
        <v>0.41666666666666669</v>
      </c>
      <c r="E100" t="s">
        <v>228</v>
      </c>
      <c r="F100" t="s">
        <v>10</v>
      </c>
      <c r="G100">
        <v>70</v>
      </c>
      <c r="I100" t="s">
        <v>229</v>
      </c>
      <c r="J100" t="s">
        <v>15</v>
      </c>
      <c r="K100" t="b">
        <v>1</v>
      </c>
      <c r="L100">
        <v>55</v>
      </c>
      <c r="M100" t="s">
        <v>21</v>
      </c>
    </row>
    <row r="101" spans="1:13" x14ac:dyDescent="0.35">
      <c r="A101" s="2">
        <v>44977.105358796296</v>
      </c>
      <c r="B101" s="2" t="s">
        <v>1082</v>
      </c>
      <c r="C101" s="2" t="str">
        <f t="shared" si="1"/>
        <v>Monday</v>
      </c>
      <c r="D101" s="26">
        <v>8.3333333333333329E-2</v>
      </c>
      <c r="E101" t="s">
        <v>230</v>
      </c>
      <c r="F101" t="s">
        <v>10</v>
      </c>
      <c r="G101">
        <v>20</v>
      </c>
      <c r="I101" t="s">
        <v>231</v>
      </c>
      <c r="J101" t="s">
        <v>14</v>
      </c>
      <c r="K101" t="b">
        <v>0</v>
      </c>
      <c r="L101">
        <v>52</v>
      </c>
      <c r="M101" t="s">
        <v>21</v>
      </c>
    </row>
    <row r="102" spans="1:13" x14ac:dyDescent="0.35">
      <c r="A102" s="2">
        <v>44978.768587962964</v>
      </c>
      <c r="B102" s="2" t="s">
        <v>1082</v>
      </c>
      <c r="C102" s="2" t="str">
        <f t="shared" si="1"/>
        <v>Tuesday</v>
      </c>
      <c r="D102" s="26">
        <v>0.75</v>
      </c>
      <c r="E102" t="s">
        <v>233</v>
      </c>
      <c r="F102" t="s">
        <v>10</v>
      </c>
      <c r="G102">
        <v>9</v>
      </c>
      <c r="I102" t="s">
        <v>234</v>
      </c>
      <c r="J102" t="s">
        <v>11</v>
      </c>
      <c r="K102" t="b">
        <v>1</v>
      </c>
      <c r="L102">
        <v>59</v>
      </c>
      <c r="M102" t="s">
        <v>21</v>
      </c>
    </row>
    <row r="103" spans="1:13" x14ac:dyDescent="0.35">
      <c r="A103" s="2">
        <v>44979.686481481483</v>
      </c>
      <c r="B103" s="2" t="s">
        <v>1082</v>
      </c>
      <c r="C103" s="2" t="str">
        <f t="shared" si="1"/>
        <v>Wednesday</v>
      </c>
      <c r="D103" s="26">
        <v>0.66666666666666663</v>
      </c>
      <c r="E103" t="s">
        <v>237</v>
      </c>
      <c r="F103" t="s">
        <v>10</v>
      </c>
      <c r="G103">
        <v>73</v>
      </c>
      <c r="H103">
        <v>8</v>
      </c>
      <c r="I103" t="s">
        <v>238</v>
      </c>
      <c r="J103" t="s">
        <v>11</v>
      </c>
      <c r="K103" t="b">
        <v>0</v>
      </c>
      <c r="L103">
        <v>32</v>
      </c>
      <c r="M103" t="s">
        <v>21</v>
      </c>
    </row>
    <row r="104" spans="1:13" x14ac:dyDescent="0.35">
      <c r="A104" s="2">
        <v>44980.844872685186</v>
      </c>
      <c r="B104" s="2" t="s">
        <v>1082</v>
      </c>
      <c r="C104" s="2" t="str">
        <f t="shared" si="1"/>
        <v>Thursday</v>
      </c>
      <c r="D104" s="26">
        <v>0.83333333333333337</v>
      </c>
      <c r="E104" t="s">
        <v>239</v>
      </c>
      <c r="F104" t="s">
        <v>12</v>
      </c>
      <c r="G104">
        <v>54</v>
      </c>
      <c r="H104">
        <v>1</v>
      </c>
      <c r="I104" t="s">
        <v>240</v>
      </c>
      <c r="J104" t="s">
        <v>13</v>
      </c>
      <c r="K104" t="b">
        <v>1</v>
      </c>
      <c r="L104">
        <v>60</v>
      </c>
      <c r="M104" t="s">
        <v>21</v>
      </c>
    </row>
    <row r="105" spans="1:13" x14ac:dyDescent="0.35">
      <c r="A105" s="2">
        <v>44980.984756944446</v>
      </c>
      <c r="B105" s="2" t="s">
        <v>1082</v>
      </c>
      <c r="C105" s="2" t="str">
        <f t="shared" si="1"/>
        <v>Thursday</v>
      </c>
      <c r="D105" s="26">
        <v>0.95833333333333337</v>
      </c>
      <c r="E105" t="s">
        <v>241</v>
      </c>
      <c r="F105" t="s">
        <v>10</v>
      </c>
      <c r="G105">
        <v>15</v>
      </c>
      <c r="I105" t="s">
        <v>242</v>
      </c>
      <c r="J105" t="s">
        <v>13</v>
      </c>
      <c r="K105" t="b">
        <v>1</v>
      </c>
      <c r="L105">
        <v>38</v>
      </c>
      <c r="M105" t="s">
        <v>21</v>
      </c>
    </row>
    <row r="106" spans="1:13" x14ac:dyDescent="0.35">
      <c r="A106" s="2">
        <v>44981.649942129632</v>
      </c>
      <c r="B106" s="2" t="s">
        <v>1082</v>
      </c>
      <c r="C106" s="2" t="str">
        <f t="shared" si="1"/>
        <v>Friday</v>
      </c>
      <c r="D106" s="26">
        <v>0.625</v>
      </c>
      <c r="E106" t="s">
        <v>243</v>
      </c>
      <c r="F106" t="s">
        <v>12</v>
      </c>
      <c r="G106">
        <v>78</v>
      </c>
      <c r="I106" t="s">
        <v>244</v>
      </c>
      <c r="J106" t="s">
        <v>18</v>
      </c>
      <c r="K106" t="b">
        <v>1</v>
      </c>
      <c r="L106">
        <v>37</v>
      </c>
      <c r="M106" t="s">
        <v>21</v>
      </c>
    </row>
    <row r="107" spans="1:13" x14ac:dyDescent="0.35">
      <c r="A107" s="2">
        <v>44982.240960648145</v>
      </c>
      <c r="B107" s="2" t="s">
        <v>1082</v>
      </c>
      <c r="C107" s="2" t="str">
        <f t="shared" si="1"/>
        <v>Saturday</v>
      </c>
      <c r="D107" s="26">
        <v>0.20833333333333334</v>
      </c>
      <c r="E107" t="s">
        <v>245</v>
      </c>
      <c r="F107" t="s">
        <v>10</v>
      </c>
      <c r="G107">
        <v>24</v>
      </c>
      <c r="I107" t="s">
        <v>246</v>
      </c>
      <c r="J107" t="s">
        <v>13</v>
      </c>
      <c r="K107" t="b">
        <v>1</v>
      </c>
      <c r="L107">
        <v>20</v>
      </c>
      <c r="M107" t="s">
        <v>21</v>
      </c>
    </row>
    <row r="108" spans="1:13" x14ac:dyDescent="0.35">
      <c r="A108" s="2">
        <v>44982.626388888886</v>
      </c>
      <c r="B108" s="2" t="s">
        <v>1082</v>
      </c>
      <c r="C108" s="2" t="str">
        <f t="shared" si="1"/>
        <v>Saturday</v>
      </c>
      <c r="D108" s="26">
        <v>0.625</v>
      </c>
      <c r="E108" t="s">
        <v>247</v>
      </c>
      <c r="F108" t="s">
        <v>12</v>
      </c>
      <c r="G108">
        <v>65</v>
      </c>
      <c r="I108" t="s">
        <v>248</v>
      </c>
      <c r="J108" t="s">
        <v>11</v>
      </c>
      <c r="K108" t="b">
        <v>0</v>
      </c>
      <c r="L108">
        <v>29</v>
      </c>
      <c r="M108" t="s">
        <v>21</v>
      </c>
    </row>
    <row r="109" spans="1:13" x14ac:dyDescent="0.35">
      <c r="A109" s="2">
        <v>44983.664756944447</v>
      </c>
      <c r="B109" s="2" t="s">
        <v>1082</v>
      </c>
      <c r="C109" s="2" t="str">
        <f t="shared" si="1"/>
        <v>Sunday</v>
      </c>
      <c r="D109" s="26">
        <v>0.625</v>
      </c>
      <c r="E109" t="s">
        <v>249</v>
      </c>
      <c r="F109" t="s">
        <v>12</v>
      </c>
      <c r="G109">
        <v>1</v>
      </c>
      <c r="I109" t="s">
        <v>250</v>
      </c>
      <c r="J109" t="s">
        <v>11</v>
      </c>
      <c r="K109" t="b">
        <v>1</v>
      </c>
      <c r="L109">
        <v>27</v>
      </c>
      <c r="M109" t="s">
        <v>21</v>
      </c>
    </row>
    <row r="110" spans="1:13" x14ac:dyDescent="0.35">
      <c r="A110" s="2">
        <v>44983.785254629627</v>
      </c>
      <c r="B110" s="2" t="s">
        <v>1082</v>
      </c>
      <c r="C110" s="2" t="str">
        <f t="shared" si="1"/>
        <v>Sunday</v>
      </c>
      <c r="D110" s="26">
        <v>0.75</v>
      </c>
      <c r="E110" t="s">
        <v>251</v>
      </c>
      <c r="F110" t="s">
        <v>10</v>
      </c>
      <c r="G110">
        <v>43</v>
      </c>
      <c r="I110" t="s">
        <v>252</v>
      </c>
      <c r="J110" t="s">
        <v>13</v>
      </c>
      <c r="K110" t="b">
        <v>0</v>
      </c>
      <c r="L110">
        <v>11</v>
      </c>
      <c r="M110" t="s">
        <v>21</v>
      </c>
    </row>
    <row r="111" spans="1:13" x14ac:dyDescent="0.35">
      <c r="A111" s="2">
        <v>44984.683796296296</v>
      </c>
      <c r="B111" s="2" t="s">
        <v>1082</v>
      </c>
      <c r="C111" s="2" t="str">
        <f t="shared" si="1"/>
        <v>Monday</v>
      </c>
      <c r="D111" s="26">
        <v>0.66666666666666663</v>
      </c>
      <c r="E111" t="s">
        <v>255</v>
      </c>
      <c r="F111" t="s">
        <v>10</v>
      </c>
      <c r="G111">
        <v>41</v>
      </c>
      <c r="I111" t="s">
        <v>256</v>
      </c>
      <c r="J111" t="s">
        <v>16</v>
      </c>
      <c r="K111" t="b">
        <v>0</v>
      </c>
      <c r="L111">
        <v>48</v>
      </c>
      <c r="M111" t="s">
        <v>21</v>
      </c>
    </row>
    <row r="112" spans="1:13" x14ac:dyDescent="0.35">
      <c r="A112" s="2">
        <v>44986.105254629627</v>
      </c>
      <c r="B112" s="2" t="s">
        <v>1083</v>
      </c>
      <c r="C112" s="2" t="str">
        <f t="shared" si="1"/>
        <v>Wednesday</v>
      </c>
      <c r="D112" s="26">
        <v>8.3333333333333329E-2</v>
      </c>
      <c r="E112" t="s">
        <v>257</v>
      </c>
      <c r="F112" t="s">
        <v>12</v>
      </c>
      <c r="G112">
        <v>20</v>
      </c>
      <c r="H112">
        <v>8</v>
      </c>
      <c r="I112" t="s">
        <v>258</v>
      </c>
      <c r="J112" t="s">
        <v>18</v>
      </c>
      <c r="K112" t="b">
        <v>1</v>
      </c>
      <c r="L112">
        <v>22</v>
      </c>
      <c r="M112" t="s">
        <v>21</v>
      </c>
    </row>
    <row r="113" spans="1:13" x14ac:dyDescent="0.35">
      <c r="A113" s="2">
        <v>44986.822627314818</v>
      </c>
      <c r="B113" s="2" t="s">
        <v>1083</v>
      </c>
      <c r="C113" s="2" t="str">
        <f t="shared" si="1"/>
        <v>Wednesday</v>
      </c>
      <c r="D113" s="26">
        <v>0.79166666666666663</v>
      </c>
      <c r="E113" t="s">
        <v>259</v>
      </c>
      <c r="F113" t="s">
        <v>12</v>
      </c>
      <c r="G113">
        <v>53</v>
      </c>
      <c r="I113" t="s">
        <v>260</v>
      </c>
      <c r="J113" t="s">
        <v>15</v>
      </c>
      <c r="K113" t="b">
        <v>0</v>
      </c>
      <c r="L113">
        <v>48</v>
      </c>
      <c r="M113" t="s">
        <v>21</v>
      </c>
    </row>
    <row r="114" spans="1:13" x14ac:dyDescent="0.35">
      <c r="A114" s="2">
        <v>44987.410196759258</v>
      </c>
      <c r="B114" s="2" t="s">
        <v>1083</v>
      </c>
      <c r="C114" s="2" t="str">
        <f t="shared" si="1"/>
        <v>Thursday</v>
      </c>
      <c r="D114" s="26">
        <v>0.375</v>
      </c>
      <c r="E114" t="s">
        <v>261</v>
      </c>
      <c r="F114" t="s">
        <v>12</v>
      </c>
      <c r="G114">
        <v>67</v>
      </c>
      <c r="I114" t="s">
        <v>262</v>
      </c>
      <c r="J114" t="s">
        <v>16</v>
      </c>
      <c r="K114" t="b">
        <v>1</v>
      </c>
      <c r="L114">
        <v>47</v>
      </c>
      <c r="M114" t="s">
        <v>21</v>
      </c>
    </row>
    <row r="115" spans="1:13" x14ac:dyDescent="0.35">
      <c r="A115" s="2">
        <v>44987.669039351851</v>
      </c>
      <c r="B115" s="2" t="s">
        <v>1083</v>
      </c>
      <c r="C115" s="2" t="str">
        <f t="shared" si="1"/>
        <v>Thursday</v>
      </c>
      <c r="D115" s="26">
        <v>0.66666666666666663</v>
      </c>
      <c r="E115" t="s">
        <v>263</v>
      </c>
      <c r="F115" t="s">
        <v>12</v>
      </c>
      <c r="G115">
        <v>63</v>
      </c>
      <c r="I115" t="s">
        <v>264</v>
      </c>
      <c r="J115" t="s">
        <v>11</v>
      </c>
      <c r="K115" t="b">
        <v>0</v>
      </c>
      <c r="L115">
        <v>49</v>
      </c>
      <c r="M115" t="s">
        <v>21</v>
      </c>
    </row>
    <row r="116" spans="1:13" x14ac:dyDescent="0.35">
      <c r="A116" s="2">
        <v>44988.084814814814</v>
      </c>
      <c r="B116" s="2" t="s">
        <v>1083</v>
      </c>
      <c r="C116" s="2" t="str">
        <f t="shared" si="1"/>
        <v>Friday</v>
      </c>
      <c r="D116" s="26">
        <v>8.3333333333333329E-2</v>
      </c>
      <c r="E116" t="s">
        <v>265</v>
      </c>
      <c r="F116" t="s">
        <v>10</v>
      </c>
      <c r="G116">
        <v>27</v>
      </c>
      <c r="I116" t="s">
        <v>266</v>
      </c>
      <c r="J116" t="s">
        <v>15</v>
      </c>
      <c r="K116" t="b">
        <v>1</v>
      </c>
      <c r="L116">
        <v>50</v>
      </c>
      <c r="M116" t="s">
        <v>21</v>
      </c>
    </row>
    <row r="117" spans="1:13" x14ac:dyDescent="0.35">
      <c r="A117" s="2">
        <v>44988.085590277777</v>
      </c>
      <c r="B117" s="2" t="s">
        <v>1083</v>
      </c>
      <c r="C117" s="2" t="str">
        <f t="shared" si="1"/>
        <v>Friday</v>
      </c>
      <c r="D117" s="26">
        <v>8.3333333333333329E-2</v>
      </c>
      <c r="E117" t="s">
        <v>267</v>
      </c>
      <c r="F117" t="s">
        <v>10</v>
      </c>
      <c r="G117">
        <v>1</v>
      </c>
      <c r="I117" t="s">
        <v>268</v>
      </c>
      <c r="J117" t="s">
        <v>16</v>
      </c>
      <c r="K117" t="b">
        <v>0</v>
      </c>
      <c r="L117">
        <v>30</v>
      </c>
      <c r="M117" t="s">
        <v>21</v>
      </c>
    </row>
    <row r="118" spans="1:13" x14ac:dyDescent="0.35">
      <c r="A118" s="2">
        <v>44988.331655092596</v>
      </c>
      <c r="B118" s="2" t="s">
        <v>1083</v>
      </c>
      <c r="C118" s="2" t="str">
        <f t="shared" si="1"/>
        <v>Friday</v>
      </c>
      <c r="D118" s="26">
        <v>0.29166666666666669</v>
      </c>
      <c r="E118" t="s">
        <v>269</v>
      </c>
      <c r="F118" t="s">
        <v>10</v>
      </c>
      <c r="G118">
        <v>55</v>
      </c>
      <c r="I118" t="s">
        <v>270</v>
      </c>
      <c r="J118" t="s">
        <v>15</v>
      </c>
      <c r="K118" t="b">
        <v>1</v>
      </c>
      <c r="L118">
        <v>33</v>
      </c>
      <c r="M118" t="s">
        <v>21</v>
      </c>
    </row>
    <row r="119" spans="1:13" x14ac:dyDescent="0.35">
      <c r="A119" s="2">
        <v>44988.383506944447</v>
      </c>
      <c r="B119" s="2" t="s">
        <v>1083</v>
      </c>
      <c r="C119" s="2" t="str">
        <f t="shared" si="1"/>
        <v>Friday</v>
      </c>
      <c r="D119" s="26">
        <v>0.375</v>
      </c>
      <c r="E119" t="s">
        <v>271</v>
      </c>
      <c r="F119" t="s">
        <v>12</v>
      </c>
      <c r="G119">
        <v>55</v>
      </c>
      <c r="I119" t="s">
        <v>272</v>
      </c>
      <c r="J119" t="s">
        <v>13</v>
      </c>
      <c r="K119" t="b">
        <v>1</v>
      </c>
      <c r="L119">
        <v>25</v>
      </c>
      <c r="M119" t="s">
        <v>21</v>
      </c>
    </row>
    <row r="120" spans="1:13" x14ac:dyDescent="0.35">
      <c r="A120" s="2">
        <v>44988.410763888889</v>
      </c>
      <c r="B120" s="2" t="s">
        <v>1083</v>
      </c>
      <c r="C120" s="2" t="str">
        <f t="shared" si="1"/>
        <v>Friday</v>
      </c>
      <c r="D120" s="26">
        <v>0.375</v>
      </c>
      <c r="E120" t="s">
        <v>273</v>
      </c>
      <c r="F120" t="s">
        <v>10</v>
      </c>
      <c r="G120">
        <v>38</v>
      </c>
      <c r="H120">
        <v>3</v>
      </c>
      <c r="I120" t="s">
        <v>274</v>
      </c>
      <c r="J120" t="s">
        <v>11</v>
      </c>
      <c r="K120" t="b">
        <v>0</v>
      </c>
      <c r="L120">
        <v>15</v>
      </c>
      <c r="M120" t="s">
        <v>21</v>
      </c>
    </row>
    <row r="121" spans="1:13" x14ac:dyDescent="0.35">
      <c r="A121" s="2">
        <v>44988.856238425928</v>
      </c>
      <c r="B121" s="2" t="s">
        <v>1083</v>
      </c>
      <c r="C121" s="2" t="str">
        <f t="shared" si="1"/>
        <v>Friday</v>
      </c>
      <c r="D121" s="26">
        <v>0.83333333333333337</v>
      </c>
      <c r="E121" t="s">
        <v>276</v>
      </c>
      <c r="F121" t="s">
        <v>12</v>
      </c>
      <c r="G121">
        <v>45</v>
      </c>
      <c r="H121">
        <v>1</v>
      </c>
      <c r="I121" t="s">
        <v>277</v>
      </c>
      <c r="J121" t="s">
        <v>16</v>
      </c>
      <c r="K121" t="b">
        <v>1</v>
      </c>
      <c r="L121">
        <v>60</v>
      </c>
      <c r="M121" t="s">
        <v>21</v>
      </c>
    </row>
    <row r="122" spans="1:13" x14ac:dyDescent="0.35">
      <c r="A122" s="2">
        <v>44988.953888888886</v>
      </c>
      <c r="B122" s="2" t="s">
        <v>1083</v>
      </c>
      <c r="C122" s="2" t="str">
        <f t="shared" si="1"/>
        <v>Friday</v>
      </c>
      <c r="D122" s="26">
        <v>0.91666666666666663</v>
      </c>
      <c r="E122" t="s">
        <v>278</v>
      </c>
      <c r="F122" t="s">
        <v>12</v>
      </c>
      <c r="G122">
        <v>8</v>
      </c>
      <c r="I122" t="s">
        <v>279</v>
      </c>
      <c r="J122" t="s">
        <v>11</v>
      </c>
      <c r="K122" t="b">
        <v>0</v>
      </c>
      <c r="L122">
        <v>51</v>
      </c>
      <c r="M122" t="s">
        <v>21</v>
      </c>
    </row>
    <row r="123" spans="1:13" x14ac:dyDescent="0.35">
      <c r="A123" s="2">
        <v>44989.464780092596</v>
      </c>
      <c r="B123" s="2" t="s">
        <v>1083</v>
      </c>
      <c r="C123" s="2" t="str">
        <f t="shared" si="1"/>
        <v>Saturday</v>
      </c>
      <c r="D123" s="26">
        <v>0.45833333333333331</v>
      </c>
      <c r="E123" t="s">
        <v>280</v>
      </c>
      <c r="F123" t="s">
        <v>10</v>
      </c>
      <c r="G123">
        <v>57</v>
      </c>
      <c r="I123" t="s">
        <v>281</v>
      </c>
      <c r="J123" t="s">
        <v>13</v>
      </c>
      <c r="K123" t="b">
        <v>1</v>
      </c>
      <c r="L123">
        <v>56</v>
      </c>
      <c r="M123" t="s">
        <v>21</v>
      </c>
    </row>
    <row r="124" spans="1:13" x14ac:dyDescent="0.35">
      <c r="A124" s="2">
        <v>44989.707291666666</v>
      </c>
      <c r="B124" s="2" t="s">
        <v>1083</v>
      </c>
      <c r="C124" s="2" t="str">
        <f t="shared" si="1"/>
        <v>Saturday</v>
      </c>
      <c r="D124" s="26">
        <v>0.66666666666666663</v>
      </c>
      <c r="E124" t="s">
        <v>282</v>
      </c>
      <c r="F124" t="s">
        <v>10</v>
      </c>
      <c r="G124">
        <v>11</v>
      </c>
      <c r="H124">
        <v>2</v>
      </c>
      <c r="I124" t="s">
        <v>283</v>
      </c>
      <c r="J124" t="s">
        <v>11</v>
      </c>
      <c r="K124" t="b">
        <v>1</v>
      </c>
      <c r="L124">
        <v>39</v>
      </c>
      <c r="M124" t="s">
        <v>21</v>
      </c>
    </row>
    <row r="125" spans="1:13" x14ac:dyDescent="0.35">
      <c r="A125" s="2">
        <v>44989.983217592591</v>
      </c>
      <c r="B125" s="2" t="s">
        <v>1083</v>
      </c>
      <c r="C125" s="2" t="str">
        <f t="shared" si="1"/>
        <v>Saturday</v>
      </c>
      <c r="D125" s="26">
        <v>0.95833333333333337</v>
      </c>
      <c r="E125" t="s">
        <v>284</v>
      </c>
      <c r="F125" t="s">
        <v>12</v>
      </c>
      <c r="G125">
        <v>56</v>
      </c>
      <c r="I125" t="s">
        <v>285</v>
      </c>
      <c r="J125" t="s">
        <v>16</v>
      </c>
      <c r="K125" t="b">
        <v>1</v>
      </c>
      <c r="L125">
        <v>34</v>
      </c>
      <c r="M125" t="s">
        <v>21</v>
      </c>
    </row>
    <row r="126" spans="1:13" x14ac:dyDescent="0.35">
      <c r="A126" s="2">
        <v>44990.204745370371</v>
      </c>
      <c r="B126" s="2" t="s">
        <v>1083</v>
      </c>
      <c r="C126" s="2" t="str">
        <f t="shared" si="1"/>
        <v>Sunday</v>
      </c>
      <c r="D126" s="26">
        <v>0.16666666666666666</v>
      </c>
      <c r="E126" t="s">
        <v>286</v>
      </c>
      <c r="F126" t="s">
        <v>10</v>
      </c>
      <c r="G126">
        <v>10</v>
      </c>
      <c r="H126">
        <v>4</v>
      </c>
      <c r="I126" t="s">
        <v>287</v>
      </c>
      <c r="J126" t="s">
        <v>15</v>
      </c>
      <c r="K126" t="b">
        <v>0</v>
      </c>
      <c r="L126">
        <v>57</v>
      </c>
      <c r="M126" t="s">
        <v>21</v>
      </c>
    </row>
    <row r="127" spans="1:13" x14ac:dyDescent="0.35">
      <c r="A127" s="2">
        <v>44991.319976851853</v>
      </c>
      <c r="B127" s="2" t="s">
        <v>1083</v>
      </c>
      <c r="C127" s="2" t="str">
        <f t="shared" si="1"/>
        <v>Monday</v>
      </c>
      <c r="D127" s="26">
        <v>0.29166666666666669</v>
      </c>
      <c r="E127" t="s">
        <v>288</v>
      </c>
      <c r="F127" t="s">
        <v>10</v>
      </c>
      <c r="G127">
        <v>69</v>
      </c>
      <c r="I127" t="s">
        <v>289</v>
      </c>
      <c r="J127" t="s">
        <v>17</v>
      </c>
      <c r="K127" t="b">
        <v>0</v>
      </c>
      <c r="L127">
        <v>31</v>
      </c>
      <c r="M127" t="s">
        <v>21</v>
      </c>
    </row>
    <row r="128" spans="1:13" x14ac:dyDescent="0.35">
      <c r="A128" s="2">
        <v>44992.148923611108</v>
      </c>
      <c r="B128" s="2" t="s">
        <v>1083</v>
      </c>
      <c r="C128" s="2" t="str">
        <f t="shared" si="1"/>
        <v>Tuesday</v>
      </c>
      <c r="D128" s="26">
        <v>0.125</v>
      </c>
      <c r="E128" t="s">
        <v>290</v>
      </c>
      <c r="F128" t="s">
        <v>12</v>
      </c>
      <c r="G128">
        <v>57</v>
      </c>
      <c r="H128">
        <v>7</v>
      </c>
      <c r="I128" t="s">
        <v>236</v>
      </c>
      <c r="J128" t="s">
        <v>13</v>
      </c>
      <c r="K128" t="b">
        <v>0</v>
      </c>
      <c r="L128">
        <v>22</v>
      </c>
      <c r="M128" t="s">
        <v>21</v>
      </c>
    </row>
    <row r="129" spans="1:13" x14ac:dyDescent="0.35">
      <c r="A129" s="2">
        <v>44993.379351851851</v>
      </c>
      <c r="B129" s="2" t="s">
        <v>1083</v>
      </c>
      <c r="C129" s="2" t="str">
        <f t="shared" si="1"/>
        <v>Wednesday</v>
      </c>
      <c r="D129" s="26">
        <v>0.375</v>
      </c>
      <c r="E129" t="s">
        <v>291</v>
      </c>
      <c r="F129" t="s">
        <v>12</v>
      </c>
      <c r="G129">
        <v>69</v>
      </c>
      <c r="I129" t="s">
        <v>32</v>
      </c>
      <c r="J129" t="s">
        <v>14</v>
      </c>
      <c r="K129" t="b">
        <v>1</v>
      </c>
      <c r="L129">
        <v>26</v>
      </c>
      <c r="M129" t="s">
        <v>21</v>
      </c>
    </row>
    <row r="130" spans="1:13" x14ac:dyDescent="0.35">
      <c r="A130" s="2">
        <v>44993.48642361111</v>
      </c>
      <c r="B130" s="2" t="s">
        <v>1083</v>
      </c>
      <c r="C130" s="2" t="str">
        <f t="shared" si="1"/>
        <v>Wednesday</v>
      </c>
      <c r="D130" s="26">
        <v>0.45833333333333331</v>
      </c>
      <c r="E130" t="s">
        <v>292</v>
      </c>
      <c r="F130" t="s">
        <v>10</v>
      </c>
      <c r="G130">
        <v>7</v>
      </c>
      <c r="I130" t="s">
        <v>293</v>
      </c>
      <c r="J130" t="s">
        <v>11</v>
      </c>
      <c r="K130" t="b">
        <v>1</v>
      </c>
      <c r="L130">
        <v>37</v>
      </c>
      <c r="M130" t="s">
        <v>21</v>
      </c>
    </row>
    <row r="131" spans="1:13" x14ac:dyDescent="0.35">
      <c r="A131" s="2">
        <v>44993.961481481485</v>
      </c>
      <c r="B131" s="2" t="s">
        <v>1083</v>
      </c>
      <c r="C131" s="2" t="str">
        <f t="shared" ref="C131:C194" si="2">TEXT(A131,"dddd")</f>
        <v>Wednesday</v>
      </c>
      <c r="D131" s="26">
        <v>0.95833333333333337</v>
      </c>
      <c r="E131" t="s">
        <v>294</v>
      </c>
      <c r="F131" t="s">
        <v>12</v>
      </c>
      <c r="G131">
        <v>24</v>
      </c>
      <c r="I131" t="s">
        <v>295</v>
      </c>
      <c r="J131" t="s">
        <v>18</v>
      </c>
      <c r="K131" t="b">
        <v>0</v>
      </c>
      <c r="L131">
        <v>53</v>
      </c>
      <c r="M131" t="s">
        <v>21</v>
      </c>
    </row>
    <row r="132" spans="1:13" x14ac:dyDescent="0.35">
      <c r="A132" s="2">
        <v>44994.557928240742</v>
      </c>
      <c r="B132" s="2" t="s">
        <v>1083</v>
      </c>
      <c r="C132" s="2" t="str">
        <f t="shared" si="2"/>
        <v>Thursday</v>
      </c>
      <c r="D132" s="26">
        <v>0.54166666666666663</v>
      </c>
      <c r="E132" t="s">
        <v>296</v>
      </c>
      <c r="F132" t="s">
        <v>12</v>
      </c>
      <c r="G132">
        <v>4</v>
      </c>
      <c r="H132">
        <v>10</v>
      </c>
      <c r="I132" t="s">
        <v>297</v>
      </c>
      <c r="J132" t="s">
        <v>16</v>
      </c>
      <c r="K132" t="b">
        <v>1</v>
      </c>
      <c r="L132">
        <v>29</v>
      </c>
      <c r="M132" t="s">
        <v>21</v>
      </c>
    </row>
    <row r="133" spans="1:13" x14ac:dyDescent="0.35">
      <c r="A133" s="2">
        <v>44995.137418981481</v>
      </c>
      <c r="B133" s="2" t="s">
        <v>1083</v>
      </c>
      <c r="C133" s="2" t="str">
        <f t="shared" si="2"/>
        <v>Friday</v>
      </c>
      <c r="D133" s="26">
        <v>0.125</v>
      </c>
      <c r="E133" t="s">
        <v>298</v>
      </c>
      <c r="F133" t="s">
        <v>10</v>
      </c>
      <c r="G133">
        <v>61</v>
      </c>
      <c r="H133">
        <v>3</v>
      </c>
      <c r="I133" t="s">
        <v>299</v>
      </c>
      <c r="J133" t="s">
        <v>17</v>
      </c>
      <c r="K133" t="b">
        <v>1</v>
      </c>
      <c r="L133">
        <v>41</v>
      </c>
      <c r="M133" t="s">
        <v>21</v>
      </c>
    </row>
    <row r="134" spans="1:13" x14ac:dyDescent="0.35">
      <c r="A134" s="2">
        <v>44995.918229166666</v>
      </c>
      <c r="B134" s="2" t="s">
        <v>1083</v>
      </c>
      <c r="C134" s="2" t="str">
        <f t="shared" si="2"/>
        <v>Friday</v>
      </c>
      <c r="D134" s="26">
        <v>0.91666666666666663</v>
      </c>
      <c r="E134" t="s">
        <v>300</v>
      </c>
      <c r="F134" t="s">
        <v>12</v>
      </c>
      <c r="G134">
        <v>16</v>
      </c>
      <c r="I134" t="s">
        <v>301</v>
      </c>
      <c r="J134" t="s">
        <v>13</v>
      </c>
      <c r="K134" t="b">
        <v>0</v>
      </c>
      <c r="L134">
        <v>39</v>
      </c>
      <c r="M134" t="s">
        <v>21</v>
      </c>
    </row>
    <row r="135" spans="1:13" x14ac:dyDescent="0.35">
      <c r="A135" s="2">
        <v>44996.712731481479</v>
      </c>
      <c r="B135" s="2" t="s">
        <v>1083</v>
      </c>
      <c r="C135" s="2" t="str">
        <f t="shared" si="2"/>
        <v>Saturday</v>
      </c>
      <c r="D135" s="26">
        <v>0.70833333333333337</v>
      </c>
      <c r="E135" t="s">
        <v>303</v>
      </c>
      <c r="F135" t="s">
        <v>12</v>
      </c>
      <c r="G135">
        <v>58</v>
      </c>
      <c r="I135" t="s">
        <v>92</v>
      </c>
      <c r="J135" t="s">
        <v>14</v>
      </c>
      <c r="K135" t="b">
        <v>0</v>
      </c>
      <c r="L135">
        <v>55</v>
      </c>
      <c r="M135" t="s">
        <v>21</v>
      </c>
    </row>
    <row r="136" spans="1:13" x14ac:dyDescent="0.35">
      <c r="A136" s="2">
        <v>44997.425358796296</v>
      </c>
      <c r="B136" s="2" t="s">
        <v>1083</v>
      </c>
      <c r="C136" s="2" t="str">
        <f t="shared" si="2"/>
        <v>Sunday</v>
      </c>
      <c r="D136" s="26">
        <v>0.41666666666666669</v>
      </c>
      <c r="E136" t="s">
        <v>305</v>
      </c>
      <c r="F136" t="s">
        <v>10</v>
      </c>
      <c r="G136">
        <v>66</v>
      </c>
      <c r="I136" t="s">
        <v>306</v>
      </c>
      <c r="J136" t="s">
        <v>17</v>
      </c>
      <c r="K136" t="b">
        <v>1</v>
      </c>
      <c r="L136">
        <v>28</v>
      </c>
      <c r="M136" t="s">
        <v>21</v>
      </c>
    </row>
    <row r="137" spans="1:13" x14ac:dyDescent="0.35">
      <c r="A137" s="2">
        <v>44998.198449074072</v>
      </c>
      <c r="B137" s="2" t="s">
        <v>1083</v>
      </c>
      <c r="C137" s="2" t="str">
        <f t="shared" si="2"/>
        <v>Monday</v>
      </c>
      <c r="D137" s="26">
        <v>0.16666666666666666</v>
      </c>
      <c r="E137" t="s">
        <v>307</v>
      </c>
      <c r="F137" t="s">
        <v>12</v>
      </c>
      <c r="G137">
        <v>30</v>
      </c>
      <c r="I137" t="s">
        <v>308</v>
      </c>
      <c r="J137" t="s">
        <v>17</v>
      </c>
      <c r="K137" t="b">
        <v>0</v>
      </c>
      <c r="L137">
        <v>36</v>
      </c>
      <c r="M137" t="s">
        <v>21</v>
      </c>
    </row>
    <row r="138" spans="1:13" x14ac:dyDescent="0.35">
      <c r="A138" s="2">
        <v>44998.686967592592</v>
      </c>
      <c r="B138" s="2" t="s">
        <v>1083</v>
      </c>
      <c r="C138" s="2" t="str">
        <f t="shared" si="2"/>
        <v>Monday</v>
      </c>
      <c r="D138" s="26">
        <v>0.66666666666666663</v>
      </c>
      <c r="E138" t="s">
        <v>309</v>
      </c>
      <c r="F138" t="s">
        <v>12</v>
      </c>
      <c r="G138">
        <v>33</v>
      </c>
      <c r="I138" t="s">
        <v>310</v>
      </c>
      <c r="J138" t="s">
        <v>13</v>
      </c>
      <c r="K138" t="b">
        <v>1</v>
      </c>
      <c r="L138">
        <v>43</v>
      </c>
      <c r="M138" t="s">
        <v>21</v>
      </c>
    </row>
    <row r="139" spans="1:13" x14ac:dyDescent="0.35">
      <c r="A139" s="2">
        <v>44999.115856481483</v>
      </c>
      <c r="B139" s="2" t="s">
        <v>1083</v>
      </c>
      <c r="C139" s="2" t="str">
        <f t="shared" si="2"/>
        <v>Tuesday</v>
      </c>
      <c r="D139" s="26">
        <v>8.3333333333333329E-2</v>
      </c>
      <c r="E139" t="s">
        <v>311</v>
      </c>
      <c r="F139" t="s">
        <v>10</v>
      </c>
      <c r="G139">
        <v>33</v>
      </c>
      <c r="I139" t="s">
        <v>312</v>
      </c>
      <c r="J139" t="s">
        <v>14</v>
      </c>
      <c r="K139" t="b">
        <v>1</v>
      </c>
      <c r="L139">
        <v>46</v>
      </c>
      <c r="M139" t="s">
        <v>21</v>
      </c>
    </row>
    <row r="140" spans="1:13" x14ac:dyDescent="0.35">
      <c r="A140" s="2">
        <v>44999.188449074078</v>
      </c>
      <c r="B140" s="2" t="s">
        <v>1083</v>
      </c>
      <c r="C140" s="2" t="str">
        <f t="shared" si="2"/>
        <v>Tuesday</v>
      </c>
      <c r="D140" s="26">
        <v>0.16666666666666666</v>
      </c>
      <c r="E140" t="s">
        <v>313</v>
      </c>
      <c r="F140" t="s">
        <v>10</v>
      </c>
      <c r="G140">
        <v>35</v>
      </c>
      <c r="I140" t="s">
        <v>314</v>
      </c>
      <c r="J140" t="s">
        <v>15</v>
      </c>
      <c r="K140" t="b">
        <v>0</v>
      </c>
      <c r="L140">
        <v>51</v>
      </c>
      <c r="M140" t="s">
        <v>21</v>
      </c>
    </row>
    <row r="141" spans="1:13" x14ac:dyDescent="0.35">
      <c r="A141" s="2">
        <v>44999.246527777781</v>
      </c>
      <c r="B141" s="2" t="s">
        <v>1083</v>
      </c>
      <c r="C141" s="2" t="str">
        <f t="shared" si="2"/>
        <v>Tuesday</v>
      </c>
      <c r="D141" s="26">
        <v>0.20833333333333334</v>
      </c>
      <c r="E141" t="s">
        <v>315</v>
      </c>
      <c r="F141" t="s">
        <v>10</v>
      </c>
      <c r="G141">
        <v>14</v>
      </c>
      <c r="H141">
        <v>3</v>
      </c>
      <c r="I141" t="s">
        <v>316</v>
      </c>
      <c r="J141" t="s">
        <v>14</v>
      </c>
      <c r="K141" t="b">
        <v>1</v>
      </c>
      <c r="L141">
        <v>50</v>
      </c>
      <c r="M141" t="s">
        <v>21</v>
      </c>
    </row>
    <row r="142" spans="1:13" x14ac:dyDescent="0.35">
      <c r="A142" s="2">
        <v>45001.578668981485</v>
      </c>
      <c r="B142" s="2" t="s">
        <v>1083</v>
      </c>
      <c r="C142" s="2" t="str">
        <f t="shared" si="2"/>
        <v>Thursday</v>
      </c>
      <c r="D142" s="26">
        <v>0.54166666666666663</v>
      </c>
      <c r="E142" t="s">
        <v>319</v>
      </c>
      <c r="F142" t="s">
        <v>10</v>
      </c>
      <c r="G142">
        <v>39</v>
      </c>
      <c r="I142" t="s">
        <v>320</v>
      </c>
      <c r="J142" t="s">
        <v>18</v>
      </c>
      <c r="K142" t="b">
        <v>1</v>
      </c>
      <c r="L142">
        <v>47</v>
      </c>
      <c r="M142" t="s">
        <v>21</v>
      </c>
    </row>
    <row r="143" spans="1:13" x14ac:dyDescent="0.35">
      <c r="A143" s="2">
        <v>45002.620856481481</v>
      </c>
      <c r="B143" s="2" t="s">
        <v>1083</v>
      </c>
      <c r="C143" s="2" t="str">
        <f t="shared" si="2"/>
        <v>Friday</v>
      </c>
      <c r="D143" s="26">
        <v>0.58333333333333337</v>
      </c>
      <c r="E143" t="s">
        <v>321</v>
      </c>
      <c r="F143" t="s">
        <v>10</v>
      </c>
      <c r="G143">
        <v>26</v>
      </c>
      <c r="I143" t="s">
        <v>322</v>
      </c>
      <c r="J143" t="s">
        <v>14</v>
      </c>
      <c r="K143" t="b">
        <v>1</v>
      </c>
      <c r="L143">
        <v>48</v>
      </c>
      <c r="M143" t="s">
        <v>21</v>
      </c>
    </row>
    <row r="144" spans="1:13" x14ac:dyDescent="0.35">
      <c r="A144" s="2">
        <v>45002.670520833337</v>
      </c>
      <c r="B144" s="2" t="s">
        <v>1083</v>
      </c>
      <c r="C144" s="2" t="str">
        <f t="shared" si="2"/>
        <v>Friday</v>
      </c>
      <c r="D144" s="26">
        <v>0.66666666666666663</v>
      </c>
      <c r="E144" t="s">
        <v>323</v>
      </c>
      <c r="F144" t="s">
        <v>10</v>
      </c>
      <c r="G144">
        <v>69</v>
      </c>
      <c r="I144" t="s">
        <v>324</v>
      </c>
      <c r="J144" t="s">
        <v>13</v>
      </c>
      <c r="K144" t="b">
        <v>0</v>
      </c>
      <c r="L144">
        <v>43</v>
      </c>
      <c r="M144" t="s">
        <v>21</v>
      </c>
    </row>
    <row r="145" spans="1:13" x14ac:dyDescent="0.35">
      <c r="A145" s="2">
        <v>45002.997881944444</v>
      </c>
      <c r="B145" s="2" t="s">
        <v>1083</v>
      </c>
      <c r="C145" s="2" t="str">
        <f t="shared" si="2"/>
        <v>Friday</v>
      </c>
      <c r="D145" s="26">
        <v>0.95833333333333337</v>
      </c>
      <c r="E145" t="s">
        <v>325</v>
      </c>
      <c r="F145" t="s">
        <v>10</v>
      </c>
      <c r="G145">
        <v>2</v>
      </c>
      <c r="I145" t="s">
        <v>220</v>
      </c>
      <c r="J145" t="s">
        <v>14</v>
      </c>
      <c r="K145" t="b">
        <v>1</v>
      </c>
      <c r="L145">
        <v>31</v>
      </c>
      <c r="M145" t="s">
        <v>21</v>
      </c>
    </row>
    <row r="146" spans="1:13" x14ac:dyDescent="0.35">
      <c r="A146" s="2">
        <v>45004.276689814818</v>
      </c>
      <c r="B146" s="2" t="s">
        <v>1083</v>
      </c>
      <c r="C146" s="2" t="str">
        <f t="shared" si="2"/>
        <v>Sunday</v>
      </c>
      <c r="D146" s="26">
        <v>0.25</v>
      </c>
      <c r="E146" t="s">
        <v>326</v>
      </c>
      <c r="F146" t="s">
        <v>10</v>
      </c>
      <c r="G146">
        <v>74</v>
      </c>
      <c r="I146" t="s">
        <v>327</v>
      </c>
      <c r="J146" t="s">
        <v>11</v>
      </c>
      <c r="K146" t="b">
        <v>1</v>
      </c>
      <c r="L146">
        <v>28</v>
      </c>
      <c r="M146" t="s">
        <v>21</v>
      </c>
    </row>
    <row r="147" spans="1:13" x14ac:dyDescent="0.35">
      <c r="A147" s="2">
        <v>45004.427268518521</v>
      </c>
      <c r="B147" s="2" t="s">
        <v>1083</v>
      </c>
      <c r="C147" s="2" t="str">
        <f t="shared" si="2"/>
        <v>Sunday</v>
      </c>
      <c r="D147" s="26">
        <v>0.41666666666666669</v>
      </c>
      <c r="E147" t="s">
        <v>328</v>
      </c>
      <c r="F147" t="s">
        <v>10</v>
      </c>
      <c r="G147">
        <v>60</v>
      </c>
      <c r="I147" t="s">
        <v>329</v>
      </c>
      <c r="J147" t="s">
        <v>11</v>
      </c>
      <c r="K147" t="b">
        <v>1</v>
      </c>
      <c r="L147">
        <v>39</v>
      </c>
      <c r="M147" t="s">
        <v>21</v>
      </c>
    </row>
    <row r="148" spans="1:13" x14ac:dyDescent="0.35">
      <c r="A148" s="2">
        <v>45005.406747685185</v>
      </c>
      <c r="B148" s="2" t="s">
        <v>1083</v>
      </c>
      <c r="C148" s="2" t="str">
        <f t="shared" si="2"/>
        <v>Monday</v>
      </c>
      <c r="D148" s="26">
        <v>0.375</v>
      </c>
      <c r="E148" t="s">
        <v>330</v>
      </c>
      <c r="F148" t="s">
        <v>12</v>
      </c>
      <c r="G148">
        <v>70</v>
      </c>
      <c r="I148" t="s">
        <v>331</v>
      </c>
      <c r="J148" t="s">
        <v>11</v>
      </c>
      <c r="K148" t="b">
        <v>0</v>
      </c>
      <c r="L148">
        <v>33</v>
      </c>
      <c r="M148" t="s">
        <v>21</v>
      </c>
    </row>
    <row r="149" spans="1:13" x14ac:dyDescent="0.35">
      <c r="A149" s="2">
        <v>45005.553067129629</v>
      </c>
      <c r="B149" s="2" t="s">
        <v>1083</v>
      </c>
      <c r="C149" s="2" t="str">
        <f t="shared" si="2"/>
        <v>Monday</v>
      </c>
      <c r="D149" s="26">
        <v>0.54166666666666663</v>
      </c>
      <c r="E149" t="s">
        <v>332</v>
      </c>
      <c r="F149" t="s">
        <v>10</v>
      </c>
      <c r="G149">
        <v>54</v>
      </c>
      <c r="H149">
        <v>8</v>
      </c>
      <c r="I149" t="s">
        <v>333</v>
      </c>
      <c r="J149" t="s">
        <v>13</v>
      </c>
      <c r="K149" t="b">
        <v>1</v>
      </c>
      <c r="L149">
        <v>21</v>
      </c>
      <c r="M149" t="s">
        <v>21</v>
      </c>
    </row>
    <row r="150" spans="1:13" x14ac:dyDescent="0.35">
      <c r="A150" s="2">
        <v>45005.589004629626</v>
      </c>
      <c r="B150" s="2" t="s">
        <v>1083</v>
      </c>
      <c r="C150" s="2" t="str">
        <f t="shared" si="2"/>
        <v>Monday</v>
      </c>
      <c r="D150" s="26">
        <v>0.58333333333333337</v>
      </c>
      <c r="E150" t="s">
        <v>334</v>
      </c>
      <c r="F150" t="s">
        <v>12</v>
      </c>
      <c r="G150">
        <v>55</v>
      </c>
      <c r="H150">
        <v>6</v>
      </c>
      <c r="I150" t="s">
        <v>335</v>
      </c>
      <c r="J150" t="s">
        <v>16</v>
      </c>
      <c r="K150" t="b">
        <v>1</v>
      </c>
      <c r="L150">
        <v>11</v>
      </c>
      <c r="M150" t="s">
        <v>21</v>
      </c>
    </row>
    <row r="151" spans="1:13" x14ac:dyDescent="0.35">
      <c r="A151" s="2">
        <v>45005.771053240744</v>
      </c>
      <c r="B151" s="2" t="s">
        <v>1083</v>
      </c>
      <c r="C151" s="2" t="str">
        <f t="shared" si="2"/>
        <v>Monday</v>
      </c>
      <c r="D151" s="26">
        <v>0.75</v>
      </c>
      <c r="E151" t="s">
        <v>336</v>
      </c>
      <c r="F151" t="s">
        <v>10</v>
      </c>
      <c r="G151">
        <v>10</v>
      </c>
      <c r="H151">
        <v>9</v>
      </c>
      <c r="I151" t="s">
        <v>337</v>
      </c>
      <c r="J151" t="s">
        <v>16</v>
      </c>
      <c r="K151" t="b">
        <v>0</v>
      </c>
      <c r="L151">
        <v>20</v>
      </c>
      <c r="M151" t="s">
        <v>21</v>
      </c>
    </row>
    <row r="152" spans="1:13" x14ac:dyDescent="0.35">
      <c r="A152" s="2">
        <v>45006.378564814811</v>
      </c>
      <c r="B152" s="2" t="s">
        <v>1083</v>
      </c>
      <c r="C152" s="2" t="str">
        <f t="shared" si="2"/>
        <v>Tuesday</v>
      </c>
      <c r="D152" s="26">
        <v>0.375</v>
      </c>
      <c r="E152" t="s">
        <v>338</v>
      </c>
      <c r="F152" t="s">
        <v>10</v>
      </c>
      <c r="G152">
        <v>74</v>
      </c>
      <c r="H152">
        <v>1</v>
      </c>
      <c r="I152" t="s">
        <v>339</v>
      </c>
      <c r="J152" t="s">
        <v>11</v>
      </c>
      <c r="K152" t="b">
        <v>0</v>
      </c>
      <c r="L152">
        <v>21</v>
      </c>
      <c r="M152" t="s">
        <v>21</v>
      </c>
    </row>
    <row r="153" spans="1:13" x14ac:dyDescent="0.35">
      <c r="A153" s="2">
        <v>45007.357256944444</v>
      </c>
      <c r="B153" s="2" t="s">
        <v>1083</v>
      </c>
      <c r="C153" s="2" t="str">
        <f t="shared" si="2"/>
        <v>Wednesday</v>
      </c>
      <c r="D153" s="26">
        <v>0.33333333333333331</v>
      </c>
      <c r="E153" t="s">
        <v>340</v>
      </c>
      <c r="F153" t="s">
        <v>12</v>
      </c>
      <c r="G153">
        <v>61</v>
      </c>
      <c r="I153" t="s">
        <v>341</v>
      </c>
      <c r="J153" t="s">
        <v>13</v>
      </c>
      <c r="K153" t="b">
        <v>1</v>
      </c>
      <c r="L153">
        <v>53</v>
      </c>
      <c r="M153" t="s">
        <v>21</v>
      </c>
    </row>
    <row r="154" spans="1:13" x14ac:dyDescent="0.35">
      <c r="A154" s="2">
        <v>45007.988854166666</v>
      </c>
      <c r="B154" s="2" t="s">
        <v>1083</v>
      </c>
      <c r="C154" s="2" t="str">
        <f t="shared" si="2"/>
        <v>Wednesday</v>
      </c>
      <c r="D154" s="26">
        <v>0.95833333333333337</v>
      </c>
      <c r="E154" t="s">
        <v>342</v>
      </c>
      <c r="F154" t="s">
        <v>10</v>
      </c>
      <c r="G154">
        <v>74</v>
      </c>
      <c r="H154">
        <v>1</v>
      </c>
      <c r="I154" t="s">
        <v>343</v>
      </c>
      <c r="J154" t="s">
        <v>13</v>
      </c>
      <c r="K154" t="b">
        <v>1</v>
      </c>
      <c r="L154">
        <v>45</v>
      </c>
      <c r="M154" t="s">
        <v>21</v>
      </c>
    </row>
    <row r="155" spans="1:13" x14ac:dyDescent="0.35">
      <c r="A155" s="2">
        <v>45008.323206018518</v>
      </c>
      <c r="B155" s="2" t="s">
        <v>1083</v>
      </c>
      <c r="C155" s="2" t="str">
        <f t="shared" si="2"/>
        <v>Thursday</v>
      </c>
      <c r="D155" s="26">
        <v>0.29166666666666669</v>
      </c>
      <c r="E155" t="s">
        <v>345</v>
      </c>
      <c r="F155" t="s">
        <v>107</v>
      </c>
      <c r="G155">
        <v>67</v>
      </c>
      <c r="I155" t="s">
        <v>346</v>
      </c>
      <c r="J155" t="s">
        <v>13</v>
      </c>
      <c r="K155" t="b">
        <v>0</v>
      </c>
      <c r="L155">
        <v>18</v>
      </c>
      <c r="M155" t="s">
        <v>21</v>
      </c>
    </row>
    <row r="156" spans="1:13" x14ac:dyDescent="0.35">
      <c r="A156" s="2">
        <v>45010.375127314815</v>
      </c>
      <c r="B156" s="2" t="s">
        <v>1083</v>
      </c>
      <c r="C156" s="2" t="str">
        <f t="shared" si="2"/>
        <v>Saturday</v>
      </c>
      <c r="D156" s="26">
        <v>0.375</v>
      </c>
      <c r="E156" t="s">
        <v>347</v>
      </c>
      <c r="F156" t="s">
        <v>12</v>
      </c>
      <c r="G156">
        <v>46</v>
      </c>
      <c r="H156">
        <v>1</v>
      </c>
      <c r="I156" t="s">
        <v>348</v>
      </c>
      <c r="J156" t="s">
        <v>16</v>
      </c>
      <c r="K156" t="b">
        <v>1</v>
      </c>
      <c r="L156">
        <v>19</v>
      </c>
      <c r="M156" t="s">
        <v>21</v>
      </c>
    </row>
    <row r="157" spans="1:13" x14ac:dyDescent="0.35">
      <c r="A157" s="2">
        <v>45010.583749999998</v>
      </c>
      <c r="B157" s="2" t="s">
        <v>1083</v>
      </c>
      <c r="C157" s="2" t="str">
        <f t="shared" si="2"/>
        <v>Saturday</v>
      </c>
      <c r="D157" s="26">
        <v>0.58333333333333337</v>
      </c>
      <c r="E157" t="s">
        <v>349</v>
      </c>
      <c r="F157" t="s">
        <v>10</v>
      </c>
      <c r="G157">
        <v>15</v>
      </c>
      <c r="I157" t="s">
        <v>350</v>
      </c>
      <c r="J157" t="s">
        <v>13</v>
      </c>
      <c r="K157" t="b">
        <v>0</v>
      </c>
      <c r="L157">
        <v>59</v>
      </c>
      <c r="M157" t="s">
        <v>21</v>
      </c>
    </row>
    <row r="158" spans="1:13" x14ac:dyDescent="0.35">
      <c r="A158" s="2">
        <v>45011.510057870371</v>
      </c>
      <c r="B158" s="2" t="s">
        <v>1083</v>
      </c>
      <c r="C158" s="2" t="str">
        <f t="shared" si="2"/>
        <v>Sunday</v>
      </c>
      <c r="D158" s="26">
        <v>0.5</v>
      </c>
      <c r="E158" t="s">
        <v>351</v>
      </c>
      <c r="F158" t="s">
        <v>10</v>
      </c>
      <c r="G158">
        <v>2</v>
      </c>
      <c r="H158">
        <v>6</v>
      </c>
      <c r="I158" t="s">
        <v>352</v>
      </c>
      <c r="J158" t="s">
        <v>11</v>
      </c>
      <c r="K158" t="b">
        <v>1</v>
      </c>
      <c r="L158">
        <v>23</v>
      </c>
      <c r="M158" t="s">
        <v>21</v>
      </c>
    </row>
    <row r="159" spans="1:13" x14ac:dyDescent="0.35">
      <c r="A159" s="2">
        <v>45012.272800925923</v>
      </c>
      <c r="B159" s="2" t="s">
        <v>1083</v>
      </c>
      <c r="C159" s="2" t="str">
        <f t="shared" si="2"/>
        <v>Monday</v>
      </c>
      <c r="D159" s="26">
        <v>0.25</v>
      </c>
      <c r="E159" t="s">
        <v>353</v>
      </c>
      <c r="F159" t="s">
        <v>10</v>
      </c>
      <c r="G159">
        <v>67</v>
      </c>
      <c r="I159" t="s">
        <v>354</v>
      </c>
      <c r="J159" t="s">
        <v>16</v>
      </c>
      <c r="K159" t="b">
        <v>1</v>
      </c>
      <c r="L159">
        <v>58</v>
      </c>
      <c r="M159" t="s">
        <v>21</v>
      </c>
    </row>
    <row r="160" spans="1:13" x14ac:dyDescent="0.35">
      <c r="A160" s="2">
        <v>45012.417997685188</v>
      </c>
      <c r="B160" s="2" t="s">
        <v>1083</v>
      </c>
      <c r="C160" s="2" t="str">
        <f t="shared" si="2"/>
        <v>Monday</v>
      </c>
      <c r="D160" s="26">
        <v>0.41666666666666669</v>
      </c>
      <c r="E160" t="s">
        <v>355</v>
      </c>
      <c r="F160" t="s">
        <v>12</v>
      </c>
      <c r="G160">
        <v>16</v>
      </c>
      <c r="I160" t="s">
        <v>356</v>
      </c>
      <c r="J160" t="s">
        <v>13</v>
      </c>
      <c r="K160" t="b">
        <v>0</v>
      </c>
      <c r="L160">
        <v>39</v>
      </c>
      <c r="M160" t="s">
        <v>21</v>
      </c>
    </row>
    <row r="161" spans="1:13" x14ac:dyDescent="0.35">
      <c r="A161" s="2">
        <v>45012.527569444443</v>
      </c>
      <c r="B161" s="2" t="s">
        <v>1083</v>
      </c>
      <c r="C161" s="2" t="str">
        <f t="shared" si="2"/>
        <v>Monday</v>
      </c>
      <c r="D161" s="26">
        <v>0.5</v>
      </c>
      <c r="E161" t="s">
        <v>357</v>
      </c>
      <c r="F161" t="s">
        <v>10</v>
      </c>
      <c r="G161">
        <v>11</v>
      </c>
      <c r="I161" t="s">
        <v>358</v>
      </c>
      <c r="J161" t="s">
        <v>13</v>
      </c>
      <c r="K161" t="b">
        <v>1</v>
      </c>
      <c r="L161">
        <v>35</v>
      </c>
      <c r="M161" t="s">
        <v>21</v>
      </c>
    </row>
    <row r="162" spans="1:13" x14ac:dyDescent="0.35">
      <c r="A162" s="2">
        <v>45012.663784722223</v>
      </c>
      <c r="B162" s="2" t="s">
        <v>1083</v>
      </c>
      <c r="C162" s="2" t="str">
        <f t="shared" si="2"/>
        <v>Monday</v>
      </c>
      <c r="D162" s="26">
        <v>0.625</v>
      </c>
      <c r="E162" t="s">
        <v>359</v>
      </c>
      <c r="F162" t="s">
        <v>12</v>
      </c>
      <c r="G162">
        <v>4</v>
      </c>
      <c r="I162" t="s">
        <v>254</v>
      </c>
      <c r="J162" t="s">
        <v>11</v>
      </c>
      <c r="K162" t="b">
        <v>0</v>
      </c>
      <c r="L162">
        <v>45</v>
      </c>
      <c r="M162" t="s">
        <v>21</v>
      </c>
    </row>
    <row r="163" spans="1:13" x14ac:dyDescent="0.35">
      <c r="A163" s="2">
        <v>45013.329594907409</v>
      </c>
      <c r="B163" s="2" t="s">
        <v>1083</v>
      </c>
      <c r="C163" s="2" t="str">
        <f t="shared" si="2"/>
        <v>Tuesday</v>
      </c>
      <c r="D163" s="26">
        <v>0.29166666666666669</v>
      </c>
      <c r="E163" t="s">
        <v>361</v>
      </c>
      <c r="F163" t="s">
        <v>10</v>
      </c>
      <c r="G163">
        <v>39</v>
      </c>
      <c r="I163" t="s">
        <v>362</v>
      </c>
      <c r="J163" t="s">
        <v>11</v>
      </c>
      <c r="K163" t="b">
        <v>0</v>
      </c>
      <c r="L163">
        <v>12</v>
      </c>
      <c r="M163" t="s">
        <v>21</v>
      </c>
    </row>
    <row r="164" spans="1:13" x14ac:dyDescent="0.35">
      <c r="A164" s="2">
        <v>45013.36922453704</v>
      </c>
      <c r="B164" s="2" t="s">
        <v>1083</v>
      </c>
      <c r="C164" s="2" t="str">
        <f t="shared" si="2"/>
        <v>Tuesday</v>
      </c>
      <c r="D164" s="26">
        <v>0.33333333333333331</v>
      </c>
      <c r="E164" t="s">
        <v>363</v>
      </c>
      <c r="F164" t="s">
        <v>10</v>
      </c>
      <c r="G164">
        <v>71</v>
      </c>
      <c r="I164" t="s">
        <v>318</v>
      </c>
      <c r="J164" t="s">
        <v>11</v>
      </c>
      <c r="K164" t="b">
        <v>0</v>
      </c>
      <c r="L164">
        <v>28</v>
      </c>
      <c r="M164" t="s">
        <v>21</v>
      </c>
    </row>
    <row r="165" spans="1:13" x14ac:dyDescent="0.35">
      <c r="A165" s="2">
        <v>45013.390879629631</v>
      </c>
      <c r="B165" s="2" t="s">
        <v>1083</v>
      </c>
      <c r="C165" s="2" t="str">
        <f t="shared" si="2"/>
        <v>Tuesday</v>
      </c>
      <c r="D165" s="26">
        <v>0.375</v>
      </c>
      <c r="E165" t="s">
        <v>364</v>
      </c>
      <c r="F165" t="s">
        <v>12</v>
      </c>
      <c r="G165">
        <v>47</v>
      </c>
      <c r="I165" t="s">
        <v>365</v>
      </c>
      <c r="J165" t="s">
        <v>11</v>
      </c>
      <c r="K165" t="b">
        <v>0</v>
      </c>
      <c r="L165">
        <v>30</v>
      </c>
      <c r="M165" t="s">
        <v>21</v>
      </c>
    </row>
    <row r="166" spans="1:13" x14ac:dyDescent="0.35">
      <c r="A166" s="2">
        <v>45013.796655092592</v>
      </c>
      <c r="B166" s="2" t="s">
        <v>1083</v>
      </c>
      <c r="C166" s="2" t="str">
        <f t="shared" si="2"/>
        <v>Tuesday</v>
      </c>
      <c r="D166" s="26">
        <v>0.79166666666666663</v>
      </c>
      <c r="E166" t="s">
        <v>366</v>
      </c>
      <c r="F166" t="s">
        <v>10</v>
      </c>
      <c r="G166">
        <v>52</v>
      </c>
      <c r="I166" t="s">
        <v>367</v>
      </c>
      <c r="J166" t="s">
        <v>11</v>
      </c>
      <c r="K166" t="b">
        <v>0</v>
      </c>
      <c r="L166">
        <v>12</v>
      </c>
      <c r="M166" t="s">
        <v>21</v>
      </c>
    </row>
    <row r="167" spans="1:13" x14ac:dyDescent="0.35">
      <c r="A167" s="2">
        <v>45015.426145833335</v>
      </c>
      <c r="B167" s="2" t="s">
        <v>1083</v>
      </c>
      <c r="C167" s="2" t="str">
        <f t="shared" si="2"/>
        <v>Thursday</v>
      </c>
      <c r="D167" s="26">
        <v>0.41666666666666669</v>
      </c>
      <c r="E167" t="s">
        <v>368</v>
      </c>
      <c r="F167" t="s">
        <v>10</v>
      </c>
      <c r="G167">
        <v>33</v>
      </c>
      <c r="H167">
        <v>7</v>
      </c>
      <c r="I167" t="s">
        <v>369</v>
      </c>
      <c r="J167" t="s">
        <v>16</v>
      </c>
      <c r="K167" t="b">
        <v>1</v>
      </c>
      <c r="L167">
        <v>19</v>
      </c>
      <c r="M167" t="s">
        <v>21</v>
      </c>
    </row>
    <row r="168" spans="1:13" x14ac:dyDescent="0.35">
      <c r="A168" s="2">
        <v>45016.001435185186</v>
      </c>
      <c r="B168" s="2" t="s">
        <v>1083</v>
      </c>
      <c r="C168" s="2" t="str">
        <f t="shared" si="2"/>
        <v>Friday</v>
      </c>
      <c r="D168" s="26">
        <v>0</v>
      </c>
      <c r="E168" t="s">
        <v>371</v>
      </c>
      <c r="F168" t="s">
        <v>12</v>
      </c>
      <c r="G168">
        <v>43</v>
      </c>
      <c r="I168" t="s">
        <v>372</v>
      </c>
      <c r="J168" t="s">
        <v>13</v>
      </c>
      <c r="K168" t="b">
        <v>0</v>
      </c>
      <c r="L168">
        <v>32</v>
      </c>
      <c r="M168" t="s">
        <v>21</v>
      </c>
    </row>
    <row r="169" spans="1:13" x14ac:dyDescent="0.35">
      <c r="A169" s="2">
        <v>45016.076180555552</v>
      </c>
      <c r="B169" s="2" t="s">
        <v>1083</v>
      </c>
      <c r="C169" s="2" t="str">
        <f t="shared" si="2"/>
        <v>Friday</v>
      </c>
      <c r="D169" s="26">
        <v>4.1666666666666664E-2</v>
      </c>
      <c r="E169" t="s">
        <v>373</v>
      </c>
      <c r="F169" t="s">
        <v>10</v>
      </c>
      <c r="G169">
        <v>43</v>
      </c>
      <c r="I169" t="s">
        <v>374</v>
      </c>
      <c r="J169" t="s">
        <v>13</v>
      </c>
      <c r="K169" t="b">
        <v>0</v>
      </c>
      <c r="L169">
        <v>13</v>
      </c>
      <c r="M169" t="s">
        <v>21</v>
      </c>
    </row>
    <row r="170" spans="1:13" x14ac:dyDescent="0.35">
      <c r="A170" s="2">
        <v>45016.664317129631</v>
      </c>
      <c r="B170" s="2" t="s">
        <v>1083</v>
      </c>
      <c r="C170" s="2" t="str">
        <f t="shared" si="2"/>
        <v>Friday</v>
      </c>
      <c r="D170" s="26">
        <v>0.625</v>
      </c>
      <c r="E170" t="s">
        <v>375</v>
      </c>
      <c r="F170" t="s">
        <v>10</v>
      </c>
      <c r="G170">
        <v>53</v>
      </c>
      <c r="I170" t="s">
        <v>232</v>
      </c>
      <c r="J170" t="s">
        <v>13</v>
      </c>
      <c r="K170" t="b">
        <v>1</v>
      </c>
      <c r="L170">
        <v>56</v>
      </c>
      <c r="M170" t="s">
        <v>21</v>
      </c>
    </row>
    <row r="171" spans="1:13" x14ac:dyDescent="0.35">
      <c r="A171" s="2">
        <v>45017.433680555558</v>
      </c>
      <c r="B171" s="2" t="s">
        <v>1084</v>
      </c>
      <c r="C171" s="2" t="str">
        <f t="shared" si="2"/>
        <v>Saturday</v>
      </c>
      <c r="D171" s="26">
        <v>0.41666666666666669</v>
      </c>
      <c r="E171" t="s">
        <v>376</v>
      </c>
      <c r="F171" t="s">
        <v>12</v>
      </c>
      <c r="G171">
        <v>56</v>
      </c>
      <c r="I171" t="s">
        <v>377</v>
      </c>
      <c r="J171" t="s">
        <v>13</v>
      </c>
      <c r="K171" t="b">
        <v>0</v>
      </c>
      <c r="L171">
        <v>43</v>
      </c>
      <c r="M171" t="s">
        <v>21</v>
      </c>
    </row>
    <row r="172" spans="1:13" x14ac:dyDescent="0.35">
      <c r="A172" s="2">
        <v>45017.69730324074</v>
      </c>
      <c r="B172" s="2" t="s">
        <v>1084</v>
      </c>
      <c r="C172" s="2" t="str">
        <f t="shared" si="2"/>
        <v>Saturday</v>
      </c>
      <c r="D172" s="26">
        <v>0.66666666666666663</v>
      </c>
      <c r="E172" t="s">
        <v>378</v>
      </c>
      <c r="F172" t="s">
        <v>12</v>
      </c>
      <c r="G172">
        <v>37</v>
      </c>
      <c r="I172" t="s">
        <v>379</v>
      </c>
      <c r="J172" t="s">
        <v>17</v>
      </c>
      <c r="K172" t="b">
        <v>1</v>
      </c>
      <c r="L172">
        <v>20</v>
      </c>
      <c r="M172" t="s">
        <v>21</v>
      </c>
    </row>
    <row r="173" spans="1:13" x14ac:dyDescent="0.35">
      <c r="A173" s="2">
        <v>45018.0627662037</v>
      </c>
      <c r="B173" s="2" t="s">
        <v>1084</v>
      </c>
      <c r="C173" s="2" t="str">
        <f t="shared" si="2"/>
        <v>Sunday</v>
      </c>
      <c r="D173" s="26">
        <v>4.1666666666666664E-2</v>
      </c>
      <c r="E173" t="s">
        <v>380</v>
      </c>
      <c r="F173" t="s">
        <v>12</v>
      </c>
      <c r="G173">
        <v>24</v>
      </c>
      <c r="I173" t="s">
        <v>381</v>
      </c>
      <c r="J173" t="s">
        <v>13</v>
      </c>
      <c r="K173" t="b">
        <v>1</v>
      </c>
      <c r="L173">
        <v>54</v>
      </c>
      <c r="M173" t="s">
        <v>21</v>
      </c>
    </row>
    <row r="174" spans="1:13" x14ac:dyDescent="0.35">
      <c r="A174" s="2">
        <v>45018.252418981479</v>
      </c>
      <c r="B174" s="2" t="s">
        <v>1084</v>
      </c>
      <c r="C174" s="2" t="str">
        <f t="shared" si="2"/>
        <v>Sunday</v>
      </c>
      <c r="D174" s="26">
        <v>0.25</v>
      </c>
      <c r="E174" t="s">
        <v>382</v>
      </c>
      <c r="F174" t="s">
        <v>12</v>
      </c>
      <c r="G174">
        <v>7</v>
      </c>
      <c r="I174" t="s">
        <v>383</v>
      </c>
      <c r="J174" t="s">
        <v>11</v>
      </c>
      <c r="K174" t="b">
        <v>0</v>
      </c>
      <c r="L174">
        <v>54</v>
      </c>
      <c r="M174" t="s">
        <v>21</v>
      </c>
    </row>
    <row r="175" spans="1:13" x14ac:dyDescent="0.35">
      <c r="A175" s="2">
        <v>45019.346701388888</v>
      </c>
      <c r="B175" s="2" t="s">
        <v>1084</v>
      </c>
      <c r="C175" s="2" t="str">
        <f t="shared" si="2"/>
        <v>Monday</v>
      </c>
      <c r="D175" s="26">
        <v>0.33333333333333331</v>
      </c>
      <c r="E175" t="s">
        <v>384</v>
      </c>
      <c r="F175" t="s">
        <v>12</v>
      </c>
      <c r="G175">
        <v>22</v>
      </c>
      <c r="I175" t="s">
        <v>385</v>
      </c>
      <c r="J175" t="s">
        <v>15</v>
      </c>
      <c r="K175" t="b">
        <v>1</v>
      </c>
      <c r="L175">
        <v>52</v>
      </c>
      <c r="M175" t="s">
        <v>21</v>
      </c>
    </row>
    <row r="176" spans="1:13" x14ac:dyDescent="0.35">
      <c r="A176" s="2">
        <v>45019.828761574077</v>
      </c>
      <c r="B176" s="2" t="s">
        <v>1084</v>
      </c>
      <c r="C176" s="2" t="str">
        <f t="shared" si="2"/>
        <v>Monday</v>
      </c>
      <c r="D176" s="26">
        <v>0.79166666666666663</v>
      </c>
      <c r="E176" t="s">
        <v>386</v>
      </c>
      <c r="F176" t="s">
        <v>10</v>
      </c>
      <c r="G176">
        <v>45</v>
      </c>
      <c r="I176" t="s">
        <v>387</v>
      </c>
      <c r="J176" t="s">
        <v>15</v>
      </c>
      <c r="K176" t="b">
        <v>0</v>
      </c>
      <c r="L176">
        <v>37</v>
      </c>
      <c r="M176" t="s">
        <v>21</v>
      </c>
    </row>
    <row r="177" spans="1:13" x14ac:dyDescent="0.35">
      <c r="A177" s="2">
        <v>45020.276365740741</v>
      </c>
      <c r="B177" s="2" t="s">
        <v>1084</v>
      </c>
      <c r="C177" s="2" t="str">
        <f t="shared" si="2"/>
        <v>Tuesday</v>
      </c>
      <c r="D177" s="26">
        <v>0.25</v>
      </c>
      <c r="E177" t="s">
        <v>388</v>
      </c>
      <c r="F177" t="s">
        <v>10</v>
      </c>
      <c r="G177">
        <v>70</v>
      </c>
      <c r="H177">
        <v>5</v>
      </c>
      <c r="I177" t="s">
        <v>389</v>
      </c>
      <c r="J177" t="s">
        <v>14</v>
      </c>
      <c r="K177" t="b">
        <v>0</v>
      </c>
      <c r="L177">
        <v>41</v>
      </c>
      <c r="M177" t="s">
        <v>21</v>
      </c>
    </row>
    <row r="178" spans="1:13" x14ac:dyDescent="0.35">
      <c r="A178" s="2">
        <v>45020.308020833334</v>
      </c>
      <c r="B178" s="2" t="s">
        <v>1084</v>
      </c>
      <c r="C178" s="2" t="str">
        <f t="shared" si="2"/>
        <v>Tuesday</v>
      </c>
      <c r="D178" s="26">
        <v>0.29166666666666669</v>
      </c>
      <c r="E178" t="s">
        <v>390</v>
      </c>
      <c r="F178" t="s">
        <v>12</v>
      </c>
      <c r="G178">
        <v>34</v>
      </c>
      <c r="H178">
        <v>10</v>
      </c>
      <c r="I178" t="s">
        <v>391</v>
      </c>
      <c r="J178" t="s">
        <v>11</v>
      </c>
      <c r="K178" t="b">
        <v>0</v>
      </c>
      <c r="L178">
        <v>49</v>
      </c>
      <c r="M178" t="s">
        <v>21</v>
      </c>
    </row>
    <row r="179" spans="1:13" x14ac:dyDescent="0.35">
      <c r="A179" s="2">
        <v>45020.961655092593</v>
      </c>
      <c r="B179" s="2" t="s">
        <v>1084</v>
      </c>
      <c r="C179" s="2" t="str">
        <f t="shared" si="2"/>
        <v>Tuesday</v>
      </c>
      <c r="D179" s="26">
        <v>0.95833333333333337</v>
      </c>
      <c r="E179" t="s">
        <v>392</v>
      </c>
      <c r="F179" t="s">
        <v>12</v>
      </c>
      <c r="G179">
        <v>22</v>
      </c>
      <c r="H179">
        <v>7</v>
      </c>
      <c r="I179" t="s">
        <v>393</v>
      </c>
      <c r="J179" t="s">
        <v>13</v>
      </c>
      <c r="K179" t="b">
        <v>0</v>
      </c>
      <c r="L179">
        <v>53</v>
      </c>
      <c r="M179" t="s">
        <v>21</v>
      </c>
    </row>
    <row r="180" spans="1:13" x14ac:dyDescent="0.35">
      <c r="A180" s="2">
        <v>45021.14508101852</v>
      </c>
      <c r="B180" s="2" t="s">
        <v>1084</v>
      </c>
      <c r="C180" s="2" t="str">
        <f t="shared" si="2"/>
        <v>Wednesday</v>
      </c>
      <c r="D180" s="26">
        <v>0.125</v>
      </c>
      <c r="E180" t="s">
        <v>394</v>
      </c>
      <c r="F180" t="s">
        <v>10</v>
      </c>
      <c r="G180">
        <v>77</v>
      </c>
      <c r="H180">
        <v>2</v>
      </c>
      <c r="I180" t="s">
        <v>395</v>
      </c>
      <c r="J180" t="s">
        <v>15</v>
      </c>
      <c r="K180" t="b">
        <v>0</v>
      </c>
      <c r="L180">
        <v>19</v>
      </c>
      <c r="M180" t="s">
        <v>21</v>
      </c>
    </row>
    <row r="181" spans="1:13" x14ac:dyDescent="0.35">
      <c r="A181" s="2">
        <v>45021.908067129632</v>
      </c>
      <c r="B181" s="2" t="s">
        <v>1084</v>
      </c>
      <c r="C181" s="2" t="str">
        <f t="shared" si="2"/>
        <v>Wednesday</v>
      </c>
      <c r="D181" s="26">
        <v>0.875</v>
      </c>
      <c r="E181" t="s">
        <v>396</v>
      </c>
      <c r="F181" t="s">
        <v>12</v>
      </c>
      <c r="G181">
        <v>78</v>
      </c>
      <c r="H181">
        <v>7</v>
      </c>
      <c r="I181" t="s">
        <v>397</v>
      </c>
      <c r="J181" t="s">
        <v>17</v>
      </c>
      <c r="K181" t="b">
        <v>0</v>
      </c>
      <c r="L181">
        <v>54</v>
      </c>
      <c r="M181" t="s">
        <v>21</v>
      </c>
    </row>
    <row r="182" spans="1:13" x14ac:dyDescent="0.35">
      <c r="A182" s="2">
        <v>45022.416273148148</v>
      </c>
      <c r="B182" s="2" t="s">
        <v>1084</v>
      </c>
      <c r="C182" s="2" t="str">
        <f t="shared" si="2"/>
        <v>Thursday</v>
      </c>
      <c r="D182" s="26">
        <v>0.375</v>
      </c>
      <c r="E182" t="s">
        <v>398</v>
      </c>
      <c r="F182" t="s">
        <v>12</v>
      </c>
      <c r="G182">
        <v>61</v>
      </c>
      <c r="I182" t="s">
        <v>399</v>
      </c>
      <c r="J182" t="s">
        <v>14</v>
      </c>
      <c r="K182" t="b">
        <v>1</v>
      </c>
      <c r="L182">
        <v>29</v>
      </c>
      <c r="M182" t="s">
        <v>21</v>
      </c>
    </row>
    <row r="183" spans="1:13" x14ac:dyDescent="0.35">
      <c r="A183" s="2">
        <v>45022.432384259257</v>
      </c>
      <c r="B183" s="2" t="s">
        <v>1084</v>
      </c>
      <c r="C183" s="2" t="str">
        <f t="shared" si="2"/>
        <v>Thursday</v>
      </c>
      <c r="D183" s="26">
        <v>0.41666666666666669</v>
      </c>
      <c r="E183" t="s">
        <v>400</v>
      </c>
      <c r="F183" t="s">
        <v>12</v>
      </c>
      <c r="G183">
        <v>34</v>
      </c>
      <c r="I183" t="s">
        <v>401</v>
      </c>
      <c r="J183" t="s">
        <v>14</v>
      </c>
      <c r="K183" t="b">
        <v>0</v>
      </c>
      <c r="L183">
        <v>50</v>
      </c>
      <c r="M183" t="s">
        <v>21</v>
      </c>
    </row>
    <row r="184" spans="1:13" x14ac:dyDescent="0.35">
      <c r="A184" s="2">
        <v>45023.689502314817</v>
      </c>
      <c r="B184" s="2" t="s">
        <v>1084</v>
      </c>
      <c r="C184" s="2" t="str">
        <f t="shared" si="2"/>
        <v>Friday</v>
      </c>
      <c r="D184" s="26">
        <v>0.66666666666666663</v>
      </c>
      <c r="E184" t="s">
        <v>402</v>
      </c>
      <c r="F184" t="s">
        <v>10</v>
      </c>
      <c r="G184">
        <v>58</v>
      </c>
      <c r="H184">
        <v>5</v>
      </c>
      <c r="I184" t="s">
        <v>172</v>
      </c>
      <c r="J184" t="s">
        <v>14</v>
      </c>
      <c r="K184" t="b">
        <v>1</v>
      </c>
      <c r="L184">
        <v>15</v>
      </c>
      <c r="M184" t="s">
        <v>21</v>
      </c>
    </row>
    <row r="185" spans="1:13" x14ac:dyDescent="0.35">
      <c r="A185" s="2">
        <v>45023.964074074072</v>
      </c>
      <c r="B185" s="2" t="s">
        <v>1084</v>
      </c>
      <c r="C185" s="2" t="str">
        <f t="shared" si="2"/>
        <v>Friday</v>
      </c>
      <c r="D185" s="26">
        <v>0.95833333333333337</v>
      </c>
      <c r="E185" t="s">
        <v>403</v>
      </c>
      <c r="F185" t="s">
        <v>10</v>
      </c>
      <c r="G185">
        <v>24</v>
      </c>
      <c r="H185">
        <v>7</v>
      </c>
      <c r="I185" t="s">
        <v>404</v>
      </c>
      <c r="J185" t="s">
        <v>16</v>
      </c>
      <c r="K185" t="b">
        <v>0</v>
      </c>
      <c r="L185">
        <v>44</v>
      </c>
      <c r="M185" t="s">
        <v>21</v>
      </c>
    </row>
    <row r="186" spans="1:13" x14ac:dyDescent="0.35">
      <c r="A186" s="2">
        <v>45025.740046296298</v>
      </c>
      <c r="B186" s="2" t="s">
        <v>1084</v>
      </c>
      <c r="C186" s="2" t="str">
        <f t="shared" si="2"/>
        <v>Sunday</v>
      </c>
      <c r="D186" s="26">
        <v>0.70833333333333337</v>
      </c>
      <c r="E186" t="s">
        <v>405</v>
      </c>
      <c r="F186" t="s">
        <v>10</v>
      </c>
      <c r="G186">
        <v>60</v>
      </c>
      <c r="I186" t="s">
        <v>406</v>
      </c>
      <c r="J186" t="s">
        <v>17</v>
      </c>
      <c r="K186" t="b">
        <v>0</v>
      </c>
      <c r="L186">
        <v>49</v>
      </c>
      <c r="M186" t="s">
        <v>21</v>
      </c>
    </row>
    <row r="187" spans="1:13" x14ac:dyDescent="0.35">
      <c r="A187" s="2">
        <v>45026.779861111114</v>
      </c>
      <c r="B187" s="2" t="s">
        <v>1084</v>
      </c>
      <c r="C187" s="2" t="str">
        <f t="shared" si="2"/>
        <v>Monday</v>
      </c>
      <c r="D187" s="26">
        <v>0.75</v>
      </c>
      <c r="E187" t="s">
        <v>407</v>
      </c>
      <c r="F187" t="s">
        <v>10</v>
      </c>
      <c r="G187">
        <v>61</v>
      </c>
      <c r="I187" t="s">
        <v>408</v>
      </c>
      <c r="J187" t="s">
        <v>13</v>
      </c>
      <c r="K187" t="b">
        <v>1</v>
      </c>
      <c r="L187">
        <v>21</v>
      </c>
      <c r="M187" t="s">
        <v>21</v>
      </c>
    </row>
    <row r="188" spans="1:13" x14ac:dyDescent="0.35">
      <c r="A188" s="2">
        <v>45026.979745370372</v>
      </c>
      <c r="B188" s="2" t="s">
        <v>1084</v>
      </c>
      <c r="C188" s="2" t="str">
        <f t="shared" si="2"/>
        <v>Monday</v>
      </c>
      <c r="D188" s="26">
        <v>0.95833333333333337</v>
      </c>
      <c r="E188" t="s">
        <v>410</v>
      </c>
      <c r="F188" t="s">
        <v>10</v>
      </c>
      <c r="G188">
        <v>63</v>
      </c>
      <c r="I188" t="s">
        <v>411</v>
      </c>
      <c r="J188" t="s">
        <v>11</v>
      </c>
      <c r="K188" t="b">
        <v>1</v>
      </c>
      <c r="L188">
        <v>29</v>
      </c>
      <c r="M188" t="s">
        <v>21</v>
      </c>
    </row>
    <row r="189" spans="1:13" x14ac:dyDescent="0.35">
      <c r="A189" s="2">
        <v>45028.628148148149</v>
      </c>
      <c r="B189" s="2" t="s">
        <v>1084</v>
      </c>
      <c r="C189" s="2" t="str">
        <f t="shared" si="2"/>
        <v>Wednesday</v>
      </c>
      <c r="D189" s="26">
        <v>0.625</v>
      </c>
      <c r="E189" t="s">
        <v>412</v>
      </c>
      <c r="F189" t="s">
        <v>10</v>
      </c>
      <c r="G189">
        <v>27</v>
      </c>
      <c r="I189" t="s">
        <v>413</v>
      </c>
      <c r="J189" t="s">
        <v>13</v>
      </c>
      <c r="K189" t="b">
        <v>1</v>
      </c>
      <c r="L189">
        <v>21</v>
      </c>
      <c r="M189" t="s">
        <v>21</v>
      </c>
    </row>
    <row r="190" spans="1:13" x14ac:dyDescent="0.35">
      <c r="A190" s="2">
        <v>45030.943124999998</v>
      </c>
      <c r="B190" s="2" t="s">
        <v>1084</v>
      </c>
      <c r="C190" s="2" t="str">
        <f t="shared" si="2"/>
        <v>Friday</v>
      </c>
      <c r="D190" s="26">
        <v>0.91666666666666663</v>
      </c>
      <c r="E190" t="s">
        <v>416</v>
      </c>
      <c r="F190" t="s">
        <v>12</v>
      </c>
      <c r="G190">
        <v>40</v>
      </c>
      <c r="H190">
        <v>6</v>
      </c>
      <c r="I190" t="s">
        <v>417</v>
      </c>
      <c r="J190" t="s">
        <v>15</v>
      </c>
      <c r="K190" t="b">
        <v>1</v>
      </c>
      <c r="L190">
        <v>13</v>
      </c>
      <c r="M190" t="s">
        <v>21</v>
      </c>
    </row>
    <row r="191" spans="1:13" x14ac:dyDescent="0.35">
      <c r="A191" s="2">
        <v>45032.838518518518</v>
      </c>
      <c r="B191" s="2" t="s">
        <v>1084</v>
      </c>
      <c r="C191" s="2" t="str">
        <f t="shared" si="2"/>
        <v>Sunday</v>
      </c>
      <c r="D191" s="26">
        <v>0.83333333333333337</v>
      </c>
      <c r="E191" t="s">
        <v>418</v>
      </c>
      <c r="F191" t="s">
        <v>12</v>
      </c>
      <c r="G191">
        <v>49</v>
      </c>
      <c r="I191" t="s">
        <v>213</v>
      </c>
      <c r="J191" t="s">
        <v>15</v>
      </c>
      <c r="K191" t="b">
        <v>1</v>
      </c>
      <c r="L191">
        <v>58</v>
      </c>
      <c r="M191" t="s">
        <v>21</v>
      </c>
    </row>
    <row r="192" spans="1:13" x14ac:dyDescent="0.35">
      <c r="A192" s="2">
        <v>45033.409537037034</v>
      </c>
      <c r="B192" s="2" t="s">
        <v>1084</v>
      </c>
      <c r="C192" s="2" t="str">
        <f t="shared" si="2"/>
        <v>Monday</v>
      </c>
      <c r="D192" s="26">
        <v>0.375</v>
      </c>
      <c r="E192" t="s">
        <v>419</v>
      </c>
      <c r="F192" t="s">
        <v>12</v>
      </c>
      <c r="G192">
        <v>10</v>
      </c>
      <c r="H192">
        <v>2</v>
      </c>
      <c r="I192" t="s">
        <v>420</v>
      </c>
      <c r="J192" t="s">
        <v>11</v>
      </c>
      <c r="K192" t="b">
        <v>0</v>
      </c>
      <c r="L192">
        <v>30</v>
      </c>
      <c r="M192" t="s">
        <v>21</v>
      </c>
    </row>
    <row r="193" spans="1:13" x14ac:dyDescent="0.35">
      <c r="A193" s="2">
        <v>45033.918425925927</v>
      </c>
      <c r="B193" s="2" t="s">
        <v>1084</v>
      </c>
      <c r="C193" s="2" t="str">
        <f t="shared" si="2"/>
        <v>Monday</v>
      </c>
      <c r="D193" s="26">
        <v>0.91666666666666663</v>
      </c>
      <c r="E193" t="s">
        <v>421</v>
      </c>
      <c r="F193" t="s">
        <v>10</v>
      </c>
      <c r="G193">
        <v>49</v>
      </c>
      <c r="I193" t="s">
        <v>422</v>
      </c>
      <c r="J193" t="s">
        <v>13</v>
      </c>
      <c r="K193" t="b">
        <v>0</v>
      </c>
      <c r="L193">
        <v>21</v>
      </c>
      <c r="M193" t="s">
        <v>21</v>
      </c>
    </row>
    <row r="194" spans="1:13" x14ac:dyDescent="0.35">
      <c r="A194" s="2">
        <v>45035.695891203701</v>
      </c>
      <c r="B194" s="2" t="s">
        <v>1084</v>
      </c>
      <c r="C194" s="2" t="str">
        <f t="shared" si="2"/>
        <v>Wednesday</v>
      </c>
      <c r="D194" s="26">
        <v>0.66666666666666663</v>
      </c>
      <c r="E194" t="s">
        <v>423</v>
      </c>
      <c r="F194" t="s">
        <v>10</v>
      </c>
      <c r="G194">
        <v>38</v>
      </c>
      <c r="I194" t="s">
        <v>424</v>
      </c>
      <c r="J194" t="s">
        <v>15</v>
      </c>
      <c r="K194" t="b">
        <v>0</v>
      </c>
      <c r="L194">
        <v>32</v>
      </c>
      <c r="M194" t="s">
        <v>21</v>
      </c>
    </row>
    <row r="195" spans="1:13" x14ac:dyDescent="0.35">
      <c r="A195" s="2">
        <v>45035.981469907405</v>
      </c>
      <c r="B195" s="2" t="s">
        <v>1084</v>
      </c>
      <c r="C195" s="2" t="str">
        <f t="shared" ref="C195:C258" si="3">TEXT(A195,"dddd")</f>
        <v>Wednesday</v>
      </c>
      <c r="D195" s="26">
        <v>0.95833333333333337</v>
      </c>
      <c r="E195" t="s">
        <v>425</v>
      </c>
      <c r="F195" t="s">
        <v>12</v>
      </c>
      <c r="G195">
        <v>4</v>
      </c>
      <c r="H195">
        <v>7</v>
      </c>
      <c r="I195" t="s">
        <v>426</v>
      </c>
      <c r="J195" t="s">
        <v>11</v>
      </c>
      <c r="K195" t="b">
        <v>1</v>
      </c>
      <c r="L195">
        <v>15</v>
      </c>
      <c r="M195" t="s">
        <v>21</v>
      </c>
    </row>
    <row r="196" spans="1:13" x14ac:dyDescent="0.35">
      <c r="A196" s="2">
        <v>45037.029050925928</v>
      </c>
      <c r="B196" s="2" t="s">
        <v>1084</v>
      </c>
      <c r="C196" s="2" t="str">
        <f t="shared" si="3"/>
        <v>Friday</v>
      </c>
      <c r="D196" s="26">
        <v>0</v>
      </c>
      <c r="E196" t="s">
        <v>427</v>
      </c>
      <c r="F196" t="s">
        <v>12</v>
      </c>
      <c r="G196">
        <v>36</v>
      </c>
      <c r="I196" t="s">
        <v>428</v>
      </c>
      <c r="J196" t="s">
        <v>18</v>
      </c>
      <c r="K196" t="b">
        <v>0</v>
      </c>
      <c r="L196">
        <v>22</v>
      </c>
      <c r="M196" t="s">
        <v>21</v>
      </c>
    </row>
    <row r="197" spans="1:13" x14ac:dyDescent="0.35">
      <c r="A197" s="2">
        <v>45037.299780092595</v>
      </c>
      <c r="B197" s="2" t="s">
        <v>1084</v>
      </c>
      <c r="C197" s="2" t="str">
        <f t="shared" si="3"/>
        <v>Friday</v>
      </c>
      <c r="D197" s="26">
        <v>0.29166666666666669</v>
      </c>
      <c r="E197" t="s">
        <v>429</v>
      </c>
      <c r="F197" t="s">
        <v>12</v>
      </c>
      <c r="G197">
        <v>31</v>
      </c>
      <c r="I197" t="s">
        <v>430</v>
      </c>
      <c r="J197" t="s">
        <v>16</v>
      </c>
      <c r="K197" t="b">
        <v>0</v>
      </c>
      <c r="L197">
        <v>40</v>
      </c>
      <c r="M197" t="s">
        <v>21</v>
      </c>
    </row>
    <row r="198" spans="1:13" x14ac:dyDescent="0.35">
      <c r="A198" s="2">
        <v>45037.823240740741</v>
      </c>
      <c r="B198" s="2" t="s">
        <v>1084</v>
      </c>
      <c r="C198" s="2" t="str">
        <f t="shared" si="3"/>
        <v>Friday</v>
      </c>
      <c r="D198" s="26">
        <v>0.79166666666666663</v>
      </c>
      <c r="E198" t="s">
        <v>431</v>
      </c>
      <c r="F198" t="s">
        <v>12</v>
      </c>
      <c r="G198">
        <v>65</v>
      </c>
      <c r="I198" t="s">
        <v>432</v>
      </c>
      <c r="J198" t="s">
        <v>15</v>
      </c>
      <c r="K198" t="b">
        <v>1</v>
      </c>
      <c r="L198">
        <v>14</v>
      </c>
      <c r="M198" t="s">
        <v>21</v>
      </c>
    </row>
    <row r="199" spans="1:13" x14ac:dyDescent="0.35">
      <c r="A199" s="2">
        <v>45038.732488425929</v>
      </c>
      <c r="B199" s="2" t="s">
        <v>1084</v>
      </c>
      <c r="C199" s="2" t="str">
        <f t="shared" si="3"/>
        <v>Saturday</v>
      </c>
      <c r="D199" s="26">
        <v>0.70833333333333337</v>
      </c>
      <c r="E199" t="s">
        <v>433</v>
      </c>
      <c r="F199" t="s">
        <v>12</v>
      </c>
      <c r="G199">
        <v>34</v>
      </c>
      <c r="H199">
        <v>10</v>
      </c>
      <c r="I199" t="s">
        <v>434</v>
      </c>
      <c r="J199" t="s">
        <v>17</v>
      </c>
      <c r="K199" t="b">
        <v>1</v>
      </c>
      <c r="L199">
        <v>12</v>
      </c>
      <c r="M199" t="s">
        <v>21</v>
      </c>
    </row>
    <row r="200" spans="1:13" x14ac:dyDescent="0.35">
      <c r="A200" s="2">
        <v>45038.773263888892</v>
      </c>
      <c r="B200" s="2" t="s">
        <v>1084</v>
      </c>
      <c r="C200" s="2" t="str">
        <f t="shared" si="3"/>
        <v>Saturday</v>
      </c>
      <c r="D200" s="26">
        <v>0.75</v>
      </c>
      <c r="E200" t="s">
        <v>435</v>
      </c>
      <c r="F200" t="s">
        <v>12</v>
      </c>
      <c r="G200">
        <v>21</v>
      </c>
      <c r="H200">
        <v>10</v>
      </c>
      <c r="I200" t="s">
        <v>436</v>
      </c>
      <c r="J200" t="s">
        <v>13</v>
      </c>
      <c r="K200" t="b">
        <v>1</v>
      </c>
      <c r="L200">
        <v>18</v>
      </c>
      <c r="M200" t="s">
        <v>21</v>
      </c>
    </row>
    <row r="201" spans="1:13" x14ac:dyDescent="0.35">
      <c r="A201" s="2">
        <v>45038.97320601852</v>
      </c>
      <c r="B201" s="2" t="s">
        <v>1084</v>
      </c>
      <c r="C201" s="2" t="str">
        <f t="shared" si="3"/>
        <v>Saturday</v>
      </c>
      <c r="D201" s="26">
        <v>0.95833333333333337</v>
      </c>
      <c r="E201" t="s">
        <v>437</v>
      </c>
      <c r="F201" t="s">
        <v>10</v>
      </c>
      <c r="G201">
        <v>78</v>
      </c>
      <c r="I201" t="s">
        <v>438</v>
      </c>
      <c r="J201" t="s">
        <v>13</v>
      </c>
      <c r="K201" t="b">
        <v>0</v>
      </c>
      <c r="L201">
        <v>49</v>
      </c>
      <c r="M201" t="s">
        <v>21</v>
      </c>
    </row>
    <row r="202" spans="1:13" x14ac:dyDescent="0.35">
      <c r="A202" s="2">
        <v>45039.298379629632</v>
      </c>
      <c r="B202" s="2" t="s">
        <v>1084</v>
      </c>
      <c r="C202" s="2" t="str">
        <f t="shared" si="3"/>
        <v>Sunday</v>
      </c>
      <c r="D202" s="26">
        <v>0.29166666666666669</v>
      </c>
      <c r="E202" t="s">
        <v>440</v>
      </c>
      <c r="F202" t="s">
        <v>10</v>
      </c>
      <c r="G202">
        <v>2</v>
      </c>
      <c r="H202">
        <v>6</v>
      </c>
      <c r="I202" t="s">
        <v>441</v>
      </c>
      <c r="J202" t="s">
        <v>16</v>
      </c>
      <c r="K202" t="b">
        <v>0</v>
      </c>
      <c r="L202">
        <v>47</v>
      </c>
      <c r="M202" t="s">
        <v>21</v>
      </c>
    </row>
    <row r="203" spans="1:13" x14ac:dyDescent="0.35">
      <c r="A203" s="2">
        <v>45040.575208333335</v>
      </c>
      <c r="B203" s="2" t="s">
        <v>1084</v>
      </c>
      <c r="C203" s="2" t="str">
        <f t="shared" si="3"/>
        <v>Monday</v>
      </c>
      <c r="D203" s="26">
        <v>0.54166666666666663</v>
      </c>
      <c r="E203" t="s">
        <v>442</v>
      </c>
      <c r="F203" t="s">
        <v>10</v>
      </c>
      <c r="G203">
        <v>34</v>
      </c>
      <c r="I203" t="s">
        <v>443</v>
      </c>
      <c r="J203" t="s">
        <v>15</v>
      </c>
      <c r="K203" t="b">
        <v>1</v>
      </c>
      <c r="L203">
        <v>57</v>
      </c>
      <c r="M203" t="s">
        <v>21</v>
      </c>
    </row>
    <row r="204" spans="1:13" x14ac:dyDescent="0.35">
      <c r="A204" s="2">
        <v>45041.001805555556</v>
      </c>
      <c r="B204" s="2" t="s">
        <v>1084</v>
      </c>
      <c r="C204" s="2" t="str">
        <f t="shared" si="3"/>
        <v>Tuesday</v>
      </c>
      <c r="D204" s="26">
        <v>0</v>
      </c>
      <c r="E204" t="s">
        <v>444</v>
      </c>
      <c r="F204" t="s">
        <v>10</v>
      </c>
      <c r="G204">
        <v>41</v>
      </c>
      <c r="I204" t="s">
        <v>445</v>
      </c>
      <c r="J204" t="s">
        <v>15</v>
      </c>
      <c r="K204" t="b">
        <v>1</v>
      </c>
      <c r="L204">
        <v>31</v>
      </c>
      <c r="M204" t="s">
        <v>21</v>
      </c>
    </row>
    <row r="205" spans="1:13" x14ac:dyDescent="0.35">
      <c r="A205" s="2">
        <v>45041.432210648149</v>
      </c>
      <c r="B205" s="2" t="s">
        <v>1084</v>
      </c>
      <c r="C205" s="2" t="str">
        <f t="shared" si="3"/>
        <v>Tuesday</v>
      </c>
      <c r="D205" s="26">
        <v>0.41666666666666669</v>
      </c>
      <c r="E205" t="s">
        <v>446</v>
      </c>
      <c r="F205" t="s">
        <v>12</v>
      </c>
      <c r="G205">
        <v>3</v>
      </c>
      <c r="I205" t="s">
        <v>447</v>
      </c>
      <c r="J205" t="s">
        <v>16</v>
      </c>
      <c r="K205" t="b">
        <v>1</v>
      </c>
      <c r="L205">
        <v>43</v>
      </c>
      <c r="M205" t="s">
        <v>21</v>
      </c>
    </row>
    <row r="206" spans="1:13" x14ac:dyDescent="0.35">
      <c r="A206" s="2">
        <v>45042.098402777781</v>
      </c>
      <c r="B206" s="2" t="s">
        <v>1084</v>
      </c>
      <c r="C206" s="2" t="str">
        <f t="shared" si="3"/>
        <v>Wednesday</v>
      </c>
      <c r="D206" s="26">
        <v>8.3333333333333329E-2</v>
      </c>
      <c r="E206" t="s">
        <v>448</v>
      </c>
      <c r="F206" t="s">
        <v>12</v>
      </c>
      <c r="G206">
        <v>33</v>
      </c>
      <c r="I206" t="s">
        <v>449</v>
      </c>
      <c r="J206" t="s">
        <v>15</v>
      </c>
      <c r="K206" t="b">
        <v>0</v>
      </c>
      <c r="L206">
        <v>35</v>
      </c>
      <c r="M206" t="s">
        <v>21</v>
      </c>
    </row>
    <row r="207" spans="1:13" x14ac:dyDescent="0.35">
      <c r="A207" s="2">
        <v>45042.32371527778</v>
      </c>
      <c r="B207" s="2" t="s">
        <v>1084</v>
      </c>
      <c r="C207" s="2" t="str">
        <f t="shared" si="3"/>
        <v>Wednesday</v>
      </c>
      <c r="D207" s="26">
        <v>0.29166666666666669</v>
      </c>
      <c r="E207" t="s">
        <v>450</v>
      </c>
      <c r="F207" t="s">
        <v>12</v>
      </c>
      <c r="G207">
        <v>42</v>
      </c>
      <c r="I207" t="s">
        <v>451</v>
      </c>
      <c r="J207" t="s">
        <v>16</v>
      </c>
      <c r="K207" t="b">
        <v>1</v>
      </c>
      <c r="L207">
        <v>56</v>
      </c>
      <c r="M207" t="s">
        <v>21</v>
      </c>
    </row>
    <row r="208" spans="1:13" x14ac:dyDescent="0.35">
      <c r="A208" s="2">
        <v>45042.375752314816</v>
      </c>
      <c r="B208" s="2" t="s">
        <v>1084</v>
      </c>
      <c r="C208" s="2" t="str">
        <f t="shared" si="3"/>
        <v>Wednesday</v>
      </c>
      <c r="D208" s="26">
        <v>0.375</v>
      </c>
      <c r="E208" t="s">
        <v>452</v>
      </c>
      <c r="F208" t="s">
        <v>10</v>
      </c>
      <c r="G208">
        <v>40</v>
      </c>
      <c r="I208" t="s">
        <v>453</v>
      </c>
      <c r="J208" t="s">
        <v>13</v>
      </c>
      <c r="K208" t="b">
        <v>0</v>
      </c>
      <c r="L208">
        <v>23</v>
      </c>
      <c r="M208" t="s">
        <v>21</v>
      </c>
    </row>
    <row r="209" spans="1:13" x14ac:dyDescent="0.35">
      <c r="A209" s="2">
        <v>45042.378321759257</v>
      </c>
      <c r="B209" s="2" t="s">
        <v>1084</v>
      </c>
      <c r="C209" s="2" t="str">
        <f t="shared" si="3"/>
        <v>Wednesday</v>
      </c>
      <c r="D209" s="26">
        <v>0.375</v>
      </c>
      <c r="E209" t="s">
        <v>454</v>
      </c>
      <c r="F209" t="s">
        <v>12</v>
      </c>
      <c r="G209">
        <v>40</v>
      </c>
      <c r="I209" t="s">
        <v>455</v>
      </c>
      <c r="J209" t="s">
        <v>15</v>
      </c>
      <c r="K209" t="b">
        <v>1</v>
      </c>
      <c r="L209">
        <v>42</v>
      </c>
      <c r="M209" t="s">
        <v>21</v>
      </c>
    </row>
    <row r="210" spans="1:13" x14ac:dyDescent="0.35">
      <c r="A210" s="2">
        <v>45043.105567129627</v>
      </c>
      <c r="B210" s="2" t="s">
        <v>1084</v>
      </c>
      <c r="C210" s="2" t="str">
        <f t="shared" si="3"/>
        <v>Thursday</v>
      </c>
      <c r="D210" s="26">
        <v>8.3333333333333329E-2</v>
      </c>
      <c r="E210" t="s">
        <v>456</v>
      </c>
      <c r="F210" t="s">
        <v>12</v>
      </c>
      <c r="G210">
        <v>50</v>
      </c>
      <c r="H210">
        <v>2</v>
      </c>
      <c r="I210" t="s">
        <v>302</v>
      </c>
      <c r="J210" t="s">
        <v>11</v>
      </c>
      <c r="K210" t="b">
        <v>0</v>
      </c>
      <c r="L210">
        <v>51</v>
      </c>
      <c r="M210" t="s">
        <v>21</v>
      </c>
    </row>
    <row r="211" spans="1:13" x14ac:dyDescent="0.35">
      <c r="A211" s="2">
        <v>45044.46</v>
      </c>
      <c r="B211" s="2" t="s">
        <v>1084</v>
      </c>
      <c r="C211" s="2" t="str">
        <f t="shared" si="3"/>
        <v>Friday</v>
      </c>
      <c r="D211" s="26">
        <v>0.45833333333333331</v>
      </c>
      <c r="E211" t="s">
        <v>457</v>
      </c>
      <c r="F211" t="s">
        <v>10</v>
      </c>
      <c r="G211">
        <v>55</v>
      </c>
      <c r="H211">
        <v>4</v>
      </c>
      <c r="I211" t="s">
        <v>458</v>
      </c>
      <c r="J211" t="s">
        <v>15</v>
      </c>
      <c r="K211" t="b">
        <v>0</v>
      </c>
      <c r="L211">
        <v>28</v>
      </c>
      <c r="M211" t="s">
        <v>21</v>
      </c>
    </row>
    <row r="212" spans="1:13" x14ac:dyDescent="0.35">
      <c r="A212" s="2">
        <v>45044.598101851851</v>
      </c>
      <c r="B212" s="2" t="s">
        <v>1084</v>
      </c>
      <c r="C212" s="2" t="str">
        <f t="shared" si="3"/>
        <v>Friday</v>
      </c>
      <c r="D212" s="26">
        <v>0.58333333333333337</v>
      </c>
      <c r="E212" t="s">
        <v>459</v>
      </c>
      <c r="F212" t="s">
        <v>12</v>
      </c>
      <c r="G212">
        <v>6</v>
      </c>
      <c r="I212" t="s">
        <v>460</v>
      </c>
      <c r="J212" t="s">
        <v>16</v>
      </c>
      <c r="K212" t="b">
        <v>0</v>
      </c>
      <c r="L212">
        <v>45</v>
      </c>
      <c r="M212" t="s">
        <v>21</v>
      </c>
    </row>
    <row r="213" spans="1:13" x14ac:dyDescent="0.35">
      <c r="A213" s="2">
        <v>45046.018680555557</v>
      </c>
      <c r="B213" s="2" t="s">
        <v>1084</v>
      </c>
      <c r="C213" s="2" t="str">
        <f t="shared" si="3"/>
        <v>Sunday</v>
      </c>
      <c r="D213" s="26">
        <v>0</v>
      </c>
      <c r="E213" t="s">
        <v>462</v>
      </c>
      <c r="F213" t="s">
        <v>12</v>
      </c>
      <c r="G213">
        <v>53</v>
      </c>
      <c r="I213" t="s">
        <v>463</v>
      </c>
      <c r="J213" t="s">
        <v>13</v>
      </c>
      <c r="K213" t="b">
        <v>1</v>
      </c>
      <c r="L213">
        <v>45</v>
      </c>
      <c r="M213" t="s">
        <v>21</v>
      </c>
    </row>
    <row r="214" spans="1:13" x14ac:dyDescent="0.35">
      <c r="A214" s="2">
        <v>45046.528009259258</v>
      </c>
      <c r="B214" s="2" t="s">
        <v>1084</v>
      </c>
      <c r="C214" s="2" t="str">
        <f t="shared" si="3"/>
        <v>Sunday</v>
      </c>
      <c r="D214" s="26">
        <v>0.5</v>
      </c>
      <c r="E214" t="s">
        <v>464</v>
      </c>
      <c r="F214" t="s">
        <v>10</v>
      </c>
      <c r="G214">
        <v>8</v>
      </c>
      <c r="H214">
        <v>3</v>
      </c>
      <c r="I214" t="s">
        <v>465</v>
      </c>
      <c r="J214" t="s">
        <v>11</v>
      </c>
      <c r="K214" t="b">
        <v>1</v>
      </c>
      <c r="L214">
        <v>51</v>
      </c>
      <c r="M214" t="s">
        <v>21</v>
      </c>
    </row>
    <row r="215" spans="1:13" x14ac:dyDescent="0.35">
      <c r="A215" s="2">
        <v>45047.299953703703</v>
      </c>
      <c r="B215" s="2" t="s">
        <v>1085</v>
      </c>
      <c r="C215" s="2" t="str">
        <f t="shared" si="3"/>
        <v>Monday</v>
      </c>
      <c r="D215" s="26">
        <v>0.29166666666666669</v>
      </c>
      <c r="E215" t="s">
        <v>466</v>
      </c>
      <c r="F215" t="s">
        <v>12</v>
      </c>
      <c r="G215">
        <v>59</v>
      </c>
      <c r="I215" t="s">
        <v>467</v>
      </c>
      <c r="J215" t="s">
        <v>13</v>
      </c>
      <c r="K215" t="b">
        <v>1</v>
      </c>
      <c r="L215">
        <v>37</v>
      </c>
      <c r="M215" t="s">
        <v>21</v>
      </c>
    </row>
    <row r="216" spans="1:13" x14ac:dyDescent="0.35">
      <c r="A216" s="2">
        <v>45048.023344907408</v>
      </c>
      <c r="B216" s="2" t="s">
        <v>1085</v>
      </c>
      <c r="C216" s="2" t="str">
        <f t="shared" si="3"/>
        <v>Tuesday</v>
      </c>
      <c r="D216" s="26">
        <v>0</v>
      </c>
      <c r="E216" t="s">
        <v>468</v>
      </c>
      <c r="F216" t="s">
        <v>10</v>
      </c>
      <c r="G216">
        <v>25</v>
      </c>
      <c r="I216" t="s">
        <v>469</v>
      </c>
      <c r="J216" t="s">
        <v>13</v>
      </c>
      <c r="K216" t="b">
        <v>1</v>
      </c>
      <c r="L216">
        <v>26</v>
      </c>
      <c r="M216" t="s">
        <v>21</v>
      </c>
    </row>
    <row r="217" spans="1:13" x14ac:dyDescent="0.35">
      <c r="A217" s="2">
        <v>45048.87804398148</v>
      </c>
      <c r="B217" s="2" t="s">
        <v>1085</v>
      </c>
      <c r="C217" s="2" t="str">
        <f t="shared" si="3"/>
        <v>Tuesday</v>
      </c>
      <c r="D217" s="26">
        <v>0.875</v>
      </c>
      <c r="E217" t="s">
        <v>470</v>
      </c>
      <c r="F217" t="s">
        <v>12</v>
      </c>
      <c r="G217">
        <v>51</v>
      </c>
      <c r="I217" t="s">
        <v>471</v>
      </c>
      <c r="J217" t="s">
        <v>13</v>
      </c>
      <c r="K217" t="b">
        <v>0</v>
      </c>
      <c r="L217">
        <v>42</v>
      </c>
      <c r="M217" t="s">
        <v>21</v>
      </c>
    </row>
    <row r="218" spans="1:13" x14ac:dyDescent="0.35">
      <c r="A218" s="2">
        <v>45049.434212962966</v>
      </c>
      <c r="B218" s="2" t="s">
        <v>1085</v>
      </c>
      <c r="C218" s="2" t="str">
        <f t="shared" si="3"/>
        <v>Wednesday</v>
      </c>
      <c r="D218" s="26">
        <v>0.41666666666666669</v>
      </c>
      <c r="E218" t="s">
        <v>472</v>
      </c>
      <c r="F218" t="s">
        <v>12</v>
      </c>
      <c r="G218">
        <v>74</v>
      </c>
      <c r="I218" t="s">
        <v>473</v>
      </c>
      <c r="J218" t="s">
        <v>11</v>
      </c>
      <c r="K218" t="b">
        <v>0</v>
      </c>
      <c r="L218">
        <v>43</v>
      </c>
      <c r="M218" t="s">
        <v>21</v>
      </c>
    </row>
    <row r="219" spans="1:13" x14ac:dyDescent="0.35">
      <c r="A219" s="2">
        <v>45050.234201388892</v>
      </c>
      <c r="B219" s="2" t="s">
        <v>1085</v>
      </c>
      <c r="C219" s="2" t="str">
        <f t="shared" si="3"/>
        <v>Thursday</v>
      </c>
      <c r="D219" s="26">
        <v>0.20833333333333334</v>
      </c>
      <c r="E219" t="s">
        <v>474</v>
      </c>
      <c r="F219" t="s">
        <v>10</v>
      </c>
      <c r="G219">
        <v>9</v>
      </c>
      <c r="H219">
        <v>1</v>
      </c>
      <c r="I219" t="s">
        <v>475</v>
      </c>
      <c r="J219" t="s">
        <v>11</v>
      </c>
      <c r="K219" t="b">
        <v>1</v>
      </c>
      <c r="L219">
        <v>60</v>
      </c>
      <c r="M219" t="s">
        <v>21</v>
      </c>
    </row>
    <row r="220" spans="1:13" x14ac:dyDescent="0.35">
      <c r="A220" s="2">
        <v>45050.727256944447</v>
      </c>
      <c r="B220" s="2" t="s">
        <v>1085</v>
      </c>
      <c r="C220" s="2" t="str">
        <f t="shared" si="3"/>
        <v>Thursday</v>
      </c>
      <c r="D220" s="26">
        <v>0.70833333333333337</v>
      </c>
      <c r="E220" t="s">
        <v>476</v>
      </c>
      <c r="F220" t="s">
        <v>10</v>
      </c>
      <c r="G220">
        <v>61</v>
      </c>
      <c r="H220">
        <v>10</v>
      </c>
      <c r="I220" t="s">
        <v>477</v>
      </c>
      <c r="J220" t="s">
        <v>15</v>
      </c>
      <c r="K220" t="b">
        <v>1</v>
      </c>
      <c r="L220">
        <v>19</v>
      </c>
      <c r="M220" t="s">
        <v>21</v>
      </c>
    </row>
    <row r="221" spans="1:13" x14ac:dyDescent="0.35">
      <c r="A221" s="2">
        <v>45050.896099537036</v>
      </c>
      <c r="B221" s="2" t="s">
        <v>1085</v>
      </c>
      <c r="C221" s="2" t="str">
        <f t="shared" si="3"/>
        <v>Thursday</v>
      </c>
      <c r="D221" s="26">
        <v>0.875</v>
      </c>
      <c r="E221" t="s">
        <v>478</v>
      </c>
      <c r="F221" t="s">
        <v>12</v>
      </c>
      <c r="G221">
        <v>37</v>
      </c>
      <c r="I221" t="s">
        <v>479</v>
      </c>
      <c r="J221" t="s">
        <v>16</v>
      </c>
      <c r="K221" t="b">
        <v>1</v>
      </c>
      <c r="L221">
        <v>37</v>
      </c>
      <c r="M221" t="s">
        <v>21</v>
      </c>
    </row>
    <row r="222" spans="1:13" x14ac:dyDescent="0.35">
      <c r="A222" s="2">
        <v>45050.977280092593</v>
      </c>
      <c r="B222" s="2" t="s">
        <v>1085</v>
      </c>
      <c r="C222" s="2" t="str">
        <f t="shared" si="3"/>
        <v>Thursday</v>
      </c>
      <c r="D222" s="26">
        <v>0.95833333333333337</v>
      </c>
      <c r="E222" t="s">
        <v>480</v>
      </c>
      <c r="F222" t="s">
        <v>10</v>
      </c>
      <c r="G222">
        <v>51</v>
      </c>
      <c r="H222">
        <v>6</v>
      </c>
      <c r="I222" t="s">
        <v>481</v>
      </c>
      <c r="J222" t="s">
        <v>16</v>
      </c>
      <c r="K222" t="b">
        <v>0</v>
      </c>
      <c r="L222">
        <v>60</v>
      </c>
      <c r="M222" t="s">
        <v>21</v>
      </c>
    </row>
    <row r="223" spans="1:13" x14ac:dyDescent="0.35">
      <c r="A223" s="2">
        <v>45051.330925925926</v>
      </c>
      <c r="B223" s="2" t="s">
        <v>1085</v>
      </c>
      <c r="C223" s="2" t="str">
        <f t="shared" si="3"/>
        <v>Friday</v>
      </c>
      <c r="D223" s="26">
        <v>0.29166666666666669</v>
      </c>
      <c r="E223" t="s">
        <v>482</v>
      </c>
      <c r="F223" t="s">
        <v>12</v>
      </c>
      <c r="G223">
        <v>23</v>
      </c>
      <c r="H223">
        <v>3</v>
      </c>
      <c r="I223" t="s">
        <v>483</v>
      </c>
      <c r="J223" t="s">
        <v>11</v>
      </c>
      <c r="K223" t="b">
        <v>1</v>
      </c>
      <c r="L223">
        <v>58</v>
      </c>
      <c r="M223" t="s">
        <v>21</v>
      </c>
    </row>
    <row r="224" spans="1:13" x14ac:dyDescent="0.35">
      <c r="A224" s="2">
        <v>45051.37296296296</v>
      </c>
      <c r="B224" s="2" t="s">
        <v>1085</v>
      </c>
      <c r="C224" s="2" t="str">
        <f t="shared" si="3"/>
        <v>Friday</v>
      </c>
      <c r="D224" s="26">
        <v>0.33333333333333331</v>
      </c>
      <c r="E224" t="s">
        <v>484</v>
      </c>
      <c r="F224" t="s">
        <v>10</v>
      </c>
      <c r="G224">
        <v>77</v>
      </c>
      <c r="I224" t="s">
        <v>485</v>
      </c>
      <c r="J224" t="s">
        <v>13</v>
      </c>
      <c r="K224" t="b">
        <v>0</v>
      </c>
      <c r="L224">
        <v>26</v>
      </c>
      <c r="M224" t="s">
        <v>21</v>
      </c>
    </row>
    <row r="225" spans="1:13" x14ac:dyDescent="0.35">
      <c r="A225" s="2">
        <v>45051.599780092591</v>
      </c>
      <c r="B225" s="2" t="s">
        <v>1085</v>
      </c>
      <c r="C225" s="2" t="str">
        <f t="shared" si="3"/>
        <v>Friday</v>
      </c>
      <c r="D225" s="26">
        <v>0.58333333333333337</v>
      </c>
      <c r="E225" t="s">
        <v>486</v>
      </c>
      <c r="F225" t="s">
        <v>12</v>
      </c>
      <c r="G225">
        <v>4</v>
      </c>
      <c r="H225">
        <v>5</v>
      </c>
      <c r="I225" t="s">
        <v>487</v>
      </c>
      <c r="J225" t="s">
        <v>13</v>
      </c>
      <c r="K225" t="b">
        <v>0</v>
      </c>
      <c r="L225">
        <v>24</v>
      </c>
      <c r="M225" t="s">
        <v>21</v>
      </c>
    </row>
    <row r="226" spans="1:13" x14ac:dyDescent="0.35">
      <c r="A226" s="2">
        <v>45052.226493055554</v>
      </c>
      <c r="B226" s="2" t="s">
        <v>1085</v>
      </c>
      <c r="C226" s="2" t="str">
        <f t="shared" si="3"/>
        <v>Saturday</v>
      </c>
      <c r="D226" s="26">
        <v>0.20833333333333334</v>
      </c>
      <c r="E226" t="s">
        <v>488</v>
      </c>
      <c r="F226" t="s">
        <v>12</v>
      </c>
      <c r="G226">
        <v>16</v>
      </c>
      <c r="I226" t="s">
        <v>489</v>
      </c>
      <c r="J226" t="s">
        <v>13</v>
      </c>
      <c r="K226" t="b">
        <v>1</v>
      </c>
      <c r="L226">
        <v>22</v>
      </c>
      <c r="M226" t="s">
        <v>21</v>
      </c>
    </row>
    <row r="227" spans="1:13" x14ac:dyDescent="0.35">
      <c r="A227" s="2">
        <v>45053.188090277778</v>
      </c>
      <c r="B227" s="2" t="s">
        <v>1085</v>
      </c>
      <c r="C227" s="2" t="str">
        <f t="shared" si="3"/>
        <v>Sunday</v>
      </c>
      <c r="D227" s="26">
        <v>0.16666666666666666</v>
      </c>
      <c r="E227" t="s">
        <v>490</v>
      </c>
      <c r="F227" t="s">
        <v>12</v>
      </c>
      <c r="G227">
        <v>10</v>
      </c>
      <c r="H227">
        <v>5</v>
      </c>
      <c r="I227" t="s">
        <v>491</v>
      </c>
      <c r="J227" t="s">
        <v>13</v>
      </c>
      <c r="K227" t="b">
        <v>1</v>
      </c>
      <c r="L227">
        <v>50</v>
      </c>
      <c r="M227" t="s">
        <v>21</v>
      </c>
    </row>
    <row r="228" spans="1:13" x14ac:dyDescent="0.35">
      <c r="A228" s="2">
        <v>45053.229537037034</v>
      </c>
      <c r="B228" s="2" t="s">
        <v>1085</v>
      </c>
      <c r="C228" s="2" t="str">
        <f t="shared" si="3"/>
        <v>Sunday</v>
      </c>
      <c r="D228" s="26">
        <v>0.20833333333333334</v>
      </c>
      <c r="E228" t="s">
        <v>492</v>
      </c>
      <c r="F228" t="s">
        <v>12</v>
      </c>
      <c r="G228">
        <v>20</v>
      </c>
      <c r="I228" t="s">
        <v>493</v>
      </c>
      <c r="J228" t="s">
        <v>14</v>
      </c>
      <c r="K228" t="b">
        <v>1</v>
      </c>
      <c r="L228">
        <v>24</v>
      </c>
      <c r="M228" t="s">
        <v>21</v>
      </c>
    </row>
    <row r="229" spans="1:13" x14ac:dyDescent="0.35">
      <c r="A229" s="2">
        <v>45055.070405092592</v>
      </c>
      <c r="B229" s="2" t="s">
        <v>1085</v>
      </c>
      <c r="C229" s="2" t="str">
        <f t="shared" si="3"/>
        <v>Tuesday</v>
      </c>
      <c r="D229" s="26">
        <v>4.1666666666666664E-2</v>
      </c>
      <c r="E229" t="s">
        <v>495</v>
      </c>
      <c r="F229" t="s">
        <v>10</v>
      </c>
      <c r="G229">
        <v>66</v>
      </c>
      <c r="I229" t="s">
        <v>496</v>
      </c>
      <c r="J229" t="s">
        <v>13</v>
      </c>
      <c r="K229" t="b">
        <v>1</v>
      </c>
      <c r="L229">
        <v>59</v>
      </c>
      <c r="M229" t="s">
        <v>21</v>
      </c>
    </row>
    <row r="230" spans="1:13" x14ac:dyDescent="0.35">
      <c r="A230" s="2">
        <v>45055.077141203707</v>
      </c>
      <c r="B230" s="2" t="s">
        <v>1085</v>
      </c>
      <c r="C230" s="2" t="str">
        <f t="shared" si="3"/>
        <v>Tuesday</v>
      </c>
      <c r="D230" s="26">
        <v>4.1666666666666664E-2</v>
      </c>
      <c r="E230" t="s">
        <v>497</v>
      </c>
      <c r="F230" t="s">
        <v>12</v>
      </c>
      <c r="G230">
        <v>2</v>
      </c>
      <c r="H230">
        <v>1</v>
      </c>
      <c r="I230" t="s">
        <v>498</v>
      </c>
      <c r="J230" t="s">
        <v>16</v>
      </c>
      <c r="K230" t="b">
        <v>0</v>
      </c>
      <c r="L230">
        <v>24</v>
      </c>
      <c r="M230" t="s">
        <v>21</v>
      </c>
    </row>
    <row r="231" spans="1:13" x14ac:dyDescent="0.35">
      <c r="A231" s="2">
        <v>45056.123530092591</v>
      </c>
      <c r="B231" s="2" t="s">
        <v>1085</v>
      </c>
      <c r="C231" s="2" t="str">
        <f t="shared" si="3"/>
        <v>Wednesday</v>
      </c>
      <c r="D231" s="26">
        <v>8.3333333333333329E-2</v>
      </c>
      <c r="E231" t="s">
        <v>499</v>
      </c>
      <c r="F231" t="s">
        <v>10</v>
      </c>
      <c r="G231">
        <v>45</v>
      </c>
      <c r="I231" t="s">
        <v>500</v>
      </c>
      <c r="J231" t="s">
        <v>15</v>
      </c>
      <c r="K231" t="b">
        <v>0</v>
      </c>
      <c r="L231">
        <v>22</v>
      </c>
      <c r="M231" t="s">
        <v>21</v>
      </c>
    </row>
    <row r="232" spans="1:13" x14ac:dyDescent="0.35">
      <c r="A232" s="2">
        <v>45056.921261574076</v>
      </c>
      <c r="B232" s="2" t="s">
        <v>1085</v>
      </c>
      <c r="C232" s="2" t="str">
        <f t="shared" si="3"/>
        <v>Wednesday</v>
      </c>
      <c r="D232" s="26">
        <v>0.91666666666666663</v>
      </c>
      <c r="E232" t="s">
        <v>501</v>
      </c>
      <c r="F232" t="s">
        <v>12</v>
      </c>
      <c r="G232">
        <v>19</v>
      </c>
      <c r="I232" t="s">
        <v>502</v>
      </c>
      <c r="J232" t="s">
        <v>13</v>
      </c>
      <c r="K232" t="b">
        <v>0</v>
      </c>
      <c r="L232">
        <v>28</v>
      </c>
      <c r="M232" t="s">
        <v>21</v>
      </c>
    </row>
    <row r="233" spans="1:13" x14ac:dyDescent="0.35">
      <c r="A233" s="2">
        <v>45058.300138888888</v>
      </c>
      <c r="B233" s="2" t="s">
        <v>1085</v>
      </c>
      <c r="C233" s="2" t="str">
        <f t="shared" si="3"/>
        <v>Friday</v>
      </c>
      <c r="D233" s="26">
        <v>0.29166666666666669</v>
      </c>
      <c r="E233" t="s">
        <v>503</v>
      </c>
      <c r="F233" t="s">
        <v>10</v>
      </c>
      <c r="G233">
        <v>73</v>
      </c>
      <c r="I233" t="s">
        <v>504</v>
      </c>
      <c r="J233" t="s">
        <v>16</v>
      </c>
      <c r="K233" t="b">
        <v>0</v>
      </c>
      <c r="L233">
        <v>15</v>
      </c>
      <c r="M233" t="s">
        <v>21</v>
      </c>
    </row>
    <row r="234" spans="1:13" x14ac:dyDescent="0.35">
      <c r="A234" s="2">
        <v>45058.350405092591</v>
      </c>
      <c r="B234" s="2" t="s">
        <v>1085</v>
      </c>
      <c r="C234" s="2" t="str">
        <f t="shared" si="3"/>
        <v>Friday</v>
      </c>
      <c r="D234" s="26">
        <v>0.33333333333333331</v>
      </c>
      <c r="E234" t="s">
        <v>505</v>
      </c>
      <c r="F234" t="s">
        <v>12</v>
      </c>
      <c r="G234">
        <v>8</v>
      </c>
      <c r="I234" t="s">
        <v>506</v>
      </c>
      <c r="J234" t="s">
        <v>13</v>
      </c>
      <c r="K234" t="b">
        <v>1</v>
      </c>
      <c r="L234">
        <v>23</v>
      </c>
      <c r="M234" t="s">
        <v>21</v>
      </c>
    </row>
    <row r="235" spans="1:13" x14ac:dyDescent="0.35">
      <c r="A235" s="2">
        <v>45060.410891203705</v>
      </c>
      <c r="B235" s="2" t="s">
        <v>1085</v>
      </c>
      <c r="C235" s="2" t="str">
        <f t="shared" si="3"/>
        <v>Sunday</v>
      </c>
      <c r="D235" s="26">
        <v>0.375</v>
      </c>
      <c r="E235" t="s">
        <v>507</v>
      </c>
      <c r="F235" t="s">
        <v>10</v>
      </c>
      <c r="G235">
        <v>67</v>
      </c>
      <c r="I235" t="s">
        <v>508</v>
      </c>
      <c r="J235" t="s">
        <v>15</v>
      </c>
      <c r="K235" t="b">
        <v>0</v>
      </c>
      <c r="L235">
        <v>33</v>
      </c>
      <c r="M235" t="s">
        <v>21</v>
      </c>
    </row>
    <row r="236" spans="1:13" x14ac:dyDescent="0.35">
      <c r="A236" s="2">
        <v>45062.572083333333</v>
      </c>
      <c r="B236" s="2" t="s">
        <v>1085</v>
      </c>
      <c r="C236" s="2" t="str">
        <f t="shared" si="3"/>
        <v>Tuesday</v>
      </c>
      <c r="D236" s="26">
        <v>0.54166666666666663</v>
      </c>
      <c r="E236" t="s">
        <v>510</v>
      </c>
      <c r="F236" t="s">
        <v>10</v>
      </c>
      <c r="G236">
        <v>46</v>
      </c>
      <c r="I236" t="s">
        <v>511</v>
      </c>
      <c r="J236" t="s">
        <v>11</v>
      </c>
      <c r="K236" t="b">
        <v>1</v>
      </c>
      <c r="L236">
        <v>50</v>
      </c>
      <c r="M236" t="s">
        <v>21</v>
      </c>
    </row>
    <row r="237" spans="1:13" x14ac:dyDescent="0.35">
      <c r="A237" s="2">
        <v>45062.594548611109</v>
      </c>
      <c r="B237" s="2" t="s">
        <v>1085</v>
      </c>
      <c r="C237" s="2" t="str">
        <f t="shared" si="3"/>
        <v>Tuesday</v>
      </c>
      <c r="D237" s="26">
        <v>0.58333333333333337</v>
      </c>
      <c r="E237" t="s">
        <v>512</v>
      </c>
      <c r="F237" t="s">
        <v>10</v>
      </c>
      <c r="G237">
        <v>74</v>
      </c>
      <c r="H237">
        <v>6</v>
      </c>
      <c r="I237" t="s">
        <v>513</v>
      </c>
      <c r="J237" t="s">
        <v>11</v>
      </c>
      <c r="K237" t="b">
        <v>0</v>
      </c>
      <c r="L237">
        <v>24</v>
      </c>
      <c r="M237" t="s">
        <v>21</v>
      </c>
    </row>
    <row r="238" spans="1:13" x14ac:dyDescent="0.35">
      <c r="A238" s="2">
        <v>45064.047835648147</v>
      </c>
      <c r="B238" s="2" t="s">
        <v>1085</v>
      </c>
      <c r="C238" s="2" t="str">
        <f t="shared" si="3"/>
        <v>Thursday</v>
      </c>
      <c r="D238" s="26">
        <v>4.1666666666666664E-2</v>
      </c>
      <c r="E238" t="s">
        <v>514</v>
      </c>
      <c r="F238" t="s">
        <v>10</v>
      </c>
      <c r="G238">
        <v>52</v>
      </c>
      <c r="H238">
        <v>2</v>
      </c>
      <c r="I238" t="s">
        <v>515</v>
      </c>
      <c r="J238" t="s">
        <v>13</v>
      </c>
      <c r="K238" t="b">
        <v>1</v>
      </c>
      <c r="L238">
        <v>27</v>
      </c>
      <c r="M238" t="s">
        <v>21</v>
      </c>
    </row>
    <row r="239" spans="1:13" x14ac:dyDescent="0.35">
      <c r="A239" s="2">
        <v>45064.397592592592</v>
      </c>
      <c r="B239" s="2" t="s">
        <v>1085</v>
      </c>
      <c r="C239" s="2" t="str">
        <f t="shared" si="3"/>
        <v>Thursday</v>
      </c>
      <c r="D239" s="26">
        <v>0.375</v>
      </c>
      <c r="E239" t="s">
        <v>516</v>
      </c>
      <c r="F239" t="s">
        <v>12</v>
      </c>
      <c r="G239">
        <v>55</v>
      </c>
      <c r="H239">
        <v>3</v>
      </c>
      <c r="I239" t="s">
        <v>517</v>
      </c>
      <c r="J239" t="s">
        <v>14</v>
      </c>
      <c r="K239" t="b">
        <v>1</v>
      </c>
      <c r="L239">
        <v>57</v>
      </c>
      <c r="M239" t="s">
        <v>21</v>
      </c>
    </row>
    <row r="240" spans="1:13" x14ac:dyDescent="0.35">
      <c r="A240" s="2">
        <v>45064.818807870368</v>
      </c>
      <c r="B240" s="2" t="s">
        <v>1085</v>
      </c>
      <c r="C240" s="2" t="str">
        <f t="shared" si="3"/>
        <v>Thursday</v>
      </c>
      <c r="D240" s="26">
        <v>0.79166666666666663</v>
      </c>
      <c r="E240" t="s">
        <v>518</v>
      </c>
      <c r="F240" t="s">
        <v>12</v>
      </c>
      <c r="G240">
        <v>4</v>
      </c>
      <c r="I240" t="s">
        <v>519</v>
      </c>
      <c r="J240" t="s">
        <v>11</v>
      </c>
      <c r="K240" t="b">
        <v>0</v>
      </c>
      <c r="L240">
        <v>38</v>
      </c>
      <c r="M240" t="s">
        <v>21</v>
      </c>
    </row>
    <row r="241" spans="1:13" x14ac:dyDescent="0.35">
      <c r="A241" s="2">
        <v>45066.242604166669</v>
      </c>
      <c r="B241" s="2" t="s">
        <v>1085</v>
      </c>
      <c r="C241" s="2" t="str">
        <f t="shared" si="3"/>
        <v>Saturday</v>
      </c>
      <c r="D241" s="26">
        <v>0.20833333333333334</v>
      </c>
      <c r="E241" t="s">
        <v>520</v>
      </c>
      <c r="F241" t="s">
        <v>10</v>
      </c>
      <c r="G241">
        <v>46</v>
      </c>
      <c r="I241" t="s">
        <v>521</v>
      </c>
      <c r="J241" t="s">
        <v>11</v>
      </c>
      <c r="K241" t="b">
        <v>1</v>
      </c>
      <c r="L241">
        <v>57</v>
      </c>
      <c r="M241" t="s">
        <v>21</v>
      </c>
    </row>
    <row r="242" spans="1:13" x14ac:dyDescent="0.35">
      <c r="A242" s="2">
        <v>45066.607800925929</v>
      </c>
      <c r="B242" s="2" t="s">
        <v>1085</v>
      </c>
      <c r="C242" s="2" t="str">
        <f t="shared" si="3"/>
        <v>Saturday</v>
      </c>
      <c r="D242" s="26">
        <v>0.58333333333333337</v>
      </c>
      <c r="E242" t="s">
        <v>522</v>
      </c>
      <c r="F242" t="s">
        <v>12</v>
      </c>
      <c r="G242">
        <v>13</v>
      </c>
      <c r="I242" t="s">
        <v>523</v>
      </c>
      <c r="J242" t="s">
        <v>13</v>
      </c>
      <c r="K242" t="b">
        <v>1</v>
      </c>
      <c r="L242">
        <v>38</v>
      </c>
      <c r="M242" t="s">
        <v>21</v>
      </c>
    </row>
    <row r="243" spans="1:13" x14ac:dyDescent="0.35">
      <c r="A243" s="2">
        <v>45066.987604166665</v>
      </c>
      <c r="B243" s="2" t="s">
        <v>1085</v>
      </c>
      <c r="C243" s="2" t="str">
        <f t="shared" si="3"/>
        <v>Saturday</v>
      </c>
      <c r="D243" s="26">
        <v>0.95833333333333337</v>
      </c>
      <c r="E243" t="s">
        <v>524</v>
      </c>
      <c r="F243" t="s">
        <v>12</v>
      </c>
      <c r="G243">
        <v>3</v>
      </c>
      <c r="I243" t="s">
        <v>525</v>
      </c>
      <c r="J243" t="s">
        <v>17</v>
      </c>
      <c r="K243" t="b">
        <v>1</v>
      </c>
      <c r="L243">
        <v>37</v>
      </c>
      <c r="M243" t="s">
        <v>21</v>
      </c>
    </row>
    <row r="244" spans="1:13" x14ac:dyDescent="0.35">
      <c r="A244" s="2">
        <v>45067.081666666665</v>
      </c>
      <c r="B244" s="2" t="s">
        <v>1085</v>
      </c>
      <c r="C244" s="2" t="str">
        <f t="shared" si="3"/>
        <v>Sunday</v>
      </c>
      <c r="D244" s="26">
        <v>4.1666666666666664E-2</v>
      </c>
      <c r="E244" t="s">
        <v>526</v>
      </c>
      <c r="F244" t="s">
        <v>10</v>
      </c>
      <c r="G244">
        <v>4</v>
      </c>
      <c r="H244">
        <v>6</v>
      </c>
      <c r="I244" t="s">
        <v>344</v>
      </c>
      <c r="J244" t="s">
        <v>13</v>
      </c>
      <c r="K244" t="b">
        <v>0</v>
      </c>
      <c r="L244">
        <v>13</v>
      </c>
      <c r="M244" t="s">
        <v>21</v>
      </c>
    </row>
    <row r="245" spans="1:13" x14ac:dyDescent="0.35">
      <c r="A245" s="2">
        <v>45067.126469907409</v>
      </c>
      <c r="B245" s="2" t="s">
        <v>1085</v>
      </c>
      <c r="C245" s="2" t="str">
        <f t="shared" si="3"/>
        <v>Sunday</v>
      </c>
      <c r="D245" s="26">
        <v>0.125</v>
      </c>
      <c r="E245" t="s">
        <v>528</v>
      </c>
      <c r="F245" t="s">
        <v>12</v>
      </c>
      <c r="G245">
        <v>30</v>
      </c>
      <c r="I245" t="s">
        <v>529</v>
      </c>
      <c r="J245" t="s">
        <v>13</v>
      </c>
      <c r="K245" t="b">
        <v>1</v>
      </c>
      <c r="L245">
        <v>32</v>
      </c>
      <c r="M245" t="s">
        <v>21</v>
      </c>
    </row>
    <row r="246" spans="1:13" x14ac:dyDescent="0.35">
      <c r="A246" s="2">
        <v>45067.409236111111</v>
      </c>
      <c r="B246" s="2" t="s">
        <v>1085</v>
      </c>
      <c r="C246" s="2" t="str">
        <f t="shared" si="3"/>
        <v>Sunday</v>
      </c>
      <c r="D246" s="26">
        <v>0.375</v>
      </c>
      <c r="E246" t="s">
        <v>531</v>
      </c>
      <c r="F246" t="s">
        <v>10</v>
      </c>
      <c r="G246">
        <v>63</v>
      </c>
      <c r="I246" t="s">
        <v>532</v>
      </c>
      <c r="J246" t="s">
        <v>15</v>
      </c>
      <c r="K246" t="b">
        <v>1</v>
      </c>
      <c r="L246">
        <v>51</v>
      </c>
      <c r="M246" t="s">
        <v>21</v>
      </c>
    </row>
    <row r="247" spans="1:13" x14ac:dyDescent="0.35">
      <c r="A247" s="2">
        <v>45068.045289351852</v>
      </c>
      <c r="B247" s="2" t="s">
        <v>1085</v>
      </c>
      <c r="C247" s="2" t="str">
        <f t="shared" si="3"/>
        <v>Monday</v>
      </c>
      <c r="D247" s="26">
        <v>4.1666666666666664E-2</v>
      </c>
      <c r="E247" t="s">
        <v>533</v>
      </c>
      <c r="F247" t="s">
        <v>12</v>
      </c>
      <c r="G247">
        <v>1</v>
      </c>
      <c r="I247" t="s">
        <v>534</v>
      </c>
      <c r="J247" t="s">
        <v>11</v>
      </c>
      <c r="K247" t="b">
        <v>1</v>
      </c>
      <c r="L247">
        <v>39</v>
      </c>
      <c r="M247" t="s">
        <v>21</v>
      </c>
    </row>
    <row r="248" spans="1:13" x14ac:dyDescent="0.35">
      <c r="A248" s="2">
        <v>45068.101111111115</v>
      </c>
      <c r="B248" s="2" t="s">
        <v>1085</v>
      </c>
      <c r="C248" s="2" t="str">
        <f t="shared" si="3"/>
        <v>Monday</v>
      </c>
      <c r="D248" s="26">
        <v>8.3333333333333329E-2</v>
      </c>
      <c r="E248" t="s">
        <v>535</v>
      </c>
      <c r="F248" t="s">
        <v>10</v>
      </c>
      <c r="G248">
        <v>38</v>
      </c>
      <c r="I248" t="s">
        <v>536</v>
      </c>
      <c r="J248" t="s">
        <v>13</v>
      </c>
      <c r="K248" t="b">
        <v>1</v>
      </c>
      <c r="L248">
        <v>38</v>
      </c>
      <c r="M248" t="s">
        <v>21</v>
      </c>
    </row>
    <row r="249" spans="1:13" x14ac:dyDescent="0.35">
      <c r="A249" s="2">
        <v>45068.203182870369</v>
      </c>
      <c r="B249" s="2" t="s">
        <v>1085</v>
      </c>
      <c r="C249" s="2" t="str">
        <f t="shared" si="3"/>
        <v>Monday</v>
      </c>
      <c r="D249" s="26">
        <v>0.16666666666666666</v>
      </c>
      <c r="E249" t="s">
        <v>537</v>
      </c>
      <c r="F249" t="s">
        <v>12</v>
      </c>
      <c r="G249">
        <v>46</v>
      </c>
      <c r="I249" t="s">
        <v>538</v>
      </c>
      <c r="J249" t="s">
        <v>16</v>
      </c>
      <c r="K249" t="b">
        <v>0</v>
      </c>
      <c r="L249">
        <v>20</v>
      </c>
      <c r="M249" t="s">
        <v>21</v>
      </c>
    </row>
    <row r="250" spans="1:13" x14ac:dyDescent="0.35">
      <c r="A250" s="2">
        <v>45068.683078703703</v>
      </c>
      <c r="B250" s="2" t="s">
        <v>1085</v>
      </c>
      <c r="C250" s="2" t="str">
        <f t="shared" si="3"/>
        <v>Monday</v>
      </c>
      <c r="D250" s="26">
        <v>0.66666666666666663</v>
      </c>
      <c r="E250" t="s">
        <v>539</v>
      </c>
      <c r="F250" t="s">
        <v>12</v>
      </c>
      <c r="G250">
        <v>60</v>
      </c>
      <c r="I250" t="s">
        <v>540</v>
      </c>
      <c r="J250" t="s">
        <v>11</v>
      </c>
      <c r="K250" t="b">
        <v>0</v>
      </c>
      <c r="L250">
        <v>47</v>
      </c>
      <c r="M250" t="s">
        <v>21</v>
      </c>
    </row>
    <row r="251" spans="1:13" x14ac:dyDescent="0.35">
      <c r="A251" s="2">
        <v>45068.771018518521</v>
      </c>
      <c r="B251" s="2" t="s">
        <v>1085</v>
      </c>
      <c r="C251" s="2" t="str">
        <f t="shared" si="3"/>
        <v>Monday</v>
      </c>
      <c r="D251" s="26">
        <v>0.75</v>
      </c>
      <c r="E251" t="s">
        <v>541</v>
      </c>
      <c r="F251" t="s">
        <v>10</v>
      </c>
      <c r="G251">
        <v>40</v>
      </c>
      <c r="I251" t="s">
        <v>542</v>
      </c>
      <c r="J251" t="s">
        <v>18</v>
      </c>
      <c r="K251" t="b">
        <v>0</v>
      </c>
      <c r="L251">
        <v>51</v>
      </c>
      <c r="M251" t="s">
        <v>21</v>
      </c>
    </row>
    <row r="252" spans="1:13" x14ac:dyDescent="0.35">
      <c r="A252" s="2">
        <v>45069.725532407407</v>
      </c>
      <c r="B252" s="2" t="s">
        <v>1085</v>
      </c>
      <c r="C252" s="2" t="str">
        <f t="shared" si="3"/>
        <v>Tuesday</v>
      </c>
      <c r="D252" s="26">
        <v>0.70833333333333337</v>
      </c>
      <c r="E252" t="s">
        <v>543</v>
      </c>
      <c r="F252" t="s">
        <v>10</v>
      </c>
      <c r="G252">
        <v>7</v>
      </c>
      <c r="I252" t="s">
        <v>544</v>
      </c>
      <c r="J252" t="s">
        <v>11</v>
      </c>
      <c r="K252" t="b">
        <v>0</v>
      </c>
      <c r="L252">
        <v>60</v>
      </c>
      <c r="M252" t="s">
        <v>21</v>
      </c>
    </row>
    <row r="253" spans="1:13" x14ac:dyDescent="0.35">
      <c r="A253" s="2">
        <v>45069.965439814812</v>
      </c>
      <c r="B253" s="2" t="s">
        <v>1085</v>
      </c>
      <c r="C253" s="2" t="str">
        <f t="shared" si="3"/>
        <v>Tuesday</v>
      </c>
      <c r="D253" s="26">
        <v>0.95833333333333337</v>
      </c>
      <c r="E253" t="s">
        <v>545</v>
      </c>
      <c r="F253" t="s">
        <v>12</v>
      </c>
      <c r="G253">
        <v>34</v>
      </c>
      <c r="I253" t="s">
        <v>546</v>
      </c>
      <c r="J253" t="s">
        <v>11</v>
      </c>
      <c r="K253" t="b">
        <v>0</v>
      </c>
      <c r="L253">
        <v>13</v>
      </c>
      <c r="M253" t="s">
        <v>21</v>
      </c>
    </row>
    <row r="254" spans="1:13" x14ac:dyDescent="0.35">
      <c r="A254" s="2">
        <v>45071.036273148151</v>
      </c>
      <c r="B254" s="2" t="s">
        <v>1085</v>
      </c>
      <c r="C254" s="2" t="str">
        <f t="shared" si="3"/>
        <v>Thursday</v>
      </c>
      <c r="D254" s="26">
        <v>0</v>
      </c>
      <c r="E254" t="s">
        <v>547</v>
      </c>
      <c r="F254" t="s">
        <v>12</v>
      </c>
      <c r="G254">
        <v>18</v>
      </c>
      <c r="I254" t="s">
        <v>548</v>
      </c>
      <c r="J254" t="s">
        <v>11</v>
      </c>
      <c r="K254" t="b">
        <v>1</v>
      </c>
      <c r="L254">
        <v>44</v>
      </c>
      <c r="M254" t="s">
        <v>21</v>
      </c>
    </row>
    <row r="255" spans="1:13" x14ac:dyDescent="0.35">
      <c r="A255" s="2">
        <v>45071.894548611112</v>
      </c>
      <c r="B255" s="2" t="s">
        <v>1085</v>
      </c>
      <c r="C255" s="2" t="str">
        <f t="shared" si="3"/>
        <v>Thursday</v>
      </c>
      <c r="D255" s="26">
        <v>0.875</v>
      </c>
      <c r="E255" t="s">
        <v>549</v>
      </c>
      <c r="F255" t="s">
        <v>12</v>
      </c>
      <c r="G255">
        <v>72</v>
      </c>
      <c r="I255" t="s">
        <v>550</v>
      </c>
      <c r="J255" t="s">
        <v>11</v>
      </c>
      <c r="K255" t="b">
        <v>1</v>
      </c>
      <c r="L255">
        <v>24</v>
      </c>
      <c r="M255" t="s">
        <v>21</v>
      </c>
    </row>
    <row r="256" spans="1:13" x14ac:dyDescent="0.35">
      <c r="A256" s="2">
        <v>45072.993217592593</v>
      </c>
      <c r="B256" s="2" t="s">
        <v>1085</v>
      </c>
      <c r="C256" s="2" t="str">
        <f t="shared" si="3"/>
        <v>Friday</v>
      </c>
      <c r="D256" s="26">
        <v>0.95833333333333337</v>
      </c>
      <c r="E256" t="s">
        <v>551</v>
      </c>
      <c r="F256" t="s">
        <v>10</v>
      </c>
      <c r="G256">
        <v>31</v>
      </c>
      <c r="I256" t="s">
        <v>552</v>
      </c>
      <c r="J256" t="s">
        <v>11</v>
      </c>
      <c r="K256" t="b">
        <v>1</v>
      </c>
      <c r="L256">
        <v>52</v>
      </c>
      <c r="M256" t="s">
        <v>21</v>
      </c>
    </row>
    <row r="257" spans="1:13" x14ac:dyDescent="0.35">
      <c r="A257" s="2">
        <v>45073.112754629627</v>
      </c>
      <c r="B257" s="2" t="s">
        <v>1085</v>
      </c>
      <c r="C257" s="2" t="str">
        <f t="shared" si="3"/>
        <v>Saturday</v>
      </c>
      <c r="D257" s="26">
        <v>8.3333333333333329E-2</v>
      </c>
      <c r="E257" t="s">
        <v>553</v>
      </c>
      <c r="F257" t="s">
        <v>10</v>
      </c>
      <c r="G257">
        <v>41</v>
      </c>
      <c r="I257" t="s">
        <v>554</v>
      </c>
      <c r="J257" t="s">
        <v>14</v>
      </c>
      <c r="K257" t="b">
        <v>0</v>
      </c>
      <c r="L257">
        <v>13</v>
      </c>
      <c r="M257" t="s">
        <v>21</v>
      </c>
    </row>
    <row r="258" spans="1:13" x14ac:dyDescent="0.35">
      <c r="A258" s="2">
        <v>45076.130462962959</v>
      </c>
      <c r="B258" s="2" t="s">
        <v>1085</v>
      </c>
      <c r="C258" s="2" t="str">
        <f t="shared" si="3"/>
        <v>Tuesday</v>
      </c>
      <c r="D258" s="26">
        <v>0.125</v>
      </c>
      <c r="E258" t="s">
        <v>555</v>
      </c>
      <c r="F258" t="s">
        <v>10</v>
      </c>
      <c r="G258">
        <v>16</v>
      </c>
      <c r="H258">
        <v>9</v>
      </c>
      <c r="I258" t="s">
        <v>556</v>
      </c>
      <c r="J258" t="s">
        <v>13</v>
      </c>
      <c r="K258" t="b">
        <v>0</v>
      </c>
      <c r="L258">
        <v>60</v>
      </c>
      <c r="M258" t="s">
        <v>21</v>
      </c>
    </row>
    <row r="259" spans="1:13" x14ac:dyDescent="0.35">
      <c r="A259" s="2">
        <v>45076.156481481485</v>
      </c>
      <c r="B259" s="2" t="s">
        <v>1085</v>
      </c>
      <c r="C259" s="2" t="str">
        <f t="shared" ref="C259:C322" si="4">TEXT(A259,"dddd")</f>
        <v>Tuesday</v>
      </c>
      <c r="D259" s="26">
        <v>0.125</v>
      </c>
      <c r="E259" t="s">
        <v>557</v>
      </c>
      <c r="F259" t="s">
        <v>10</v>
      </c>
      <c r="G259">
        <v>62</v>
      </c>
      <c r="I259" t="s">
        <v>558</v>
      </c>
      <c r="J259" t="s">
        <v>15</v>
      </c>
      <c r="K259" t="b">
        <v>1</v>
      </c>
      <c r="L259">
        <v>29</v>
      </c>
      <c r="M259" t="s">
        <v>21</v>
      </c>
    </row>
    <row r="260" spans="1:13" x14ac:dyDescent="0.35">
      <c r="A260" s="2">
        <v>45076.496435185189</v>
      </c>
      <c r="B260" s="2" t="s">
        <v>1085</v>
      </c>
      <c r="C260" s="2" t="str">
        <f t="shared" si="4"/>
        <v>Tuesday</v>
      </c>
      <c r="D260" s="26">
        <v>0.45833333333333331</v>
      </c>
      <c r="E260" t="s">
        <v>559</v>
      </c>
      <c r="F260" t="s">
        <v>10</v>
      </c>
      <c r="G260">
        <v>29</v>
      </c>
      <c r="I260" t="s">
        <v>560</v>
      </c>
      <c r="J260" t="s">
        <v>15</v>
      </c>
      <c r="K260" t="b">
        <v>0</v>
      </c>
      <c r="L260">
        <v>43</v>
      </c>
      <c r="M260" t="s">
        <v>21</v>
      </c>
    </row>
    <row r="261" spans="1:13" x14ac:dyDescent="0.35">
      <c r="A261" s="2">
        <v>45076.635208333333</v>
      </c>
      <c r="B261" s="2" t="s">
        <v>1085</v>
      </c>
      <c r="C261" s="2" t="str">
        <f t="shared" si="4"/>
        <v>Tuesday</v>
      </c>
      <c r="D261" s="26">
        <v>0.625</v>
      </c>
      <c r="E261" t="s">
        <v>561</v>
      </c>
      <c r="F261" t="s">
        <v>10</v>
      </c>
      <c r="G261">
        <v>23</v>
      </c>
      <c r="H261">
        <v>3</v>
      </c>
      <c r="I261" t="s">
        <v>562</v>
      </c>
      <c r="J261" t="s">
        <v>15</v>
      </c>
      <c r="K261" t="b">
        <v>1</v>
      </c>
      <c r="L261">
        <v>35</v>
      </c>
      <c r="M261" t="s">
        <v>21</v>
      </c>
    </row>
    <row r="262" spans="1:13" x14ac:dyDescent="0.35">
      <c r="A262" s="2">
        <v>45077.133043981485</v>
      </c>
      <c r="B262" s="2" t="s">
        <v>1085</v>
      </c>
      <c r="C262" s="2" t="str">
        <f t="shared" si="4"/>
        <v>Wednesday</v>
      </c>
      <c r="D262" s="26">
        <v>0.125</v>
      </c>
      <c r="E262" t="s">
        <v>563</v>
      </c>
      <c r="F262" t="s">
        <v>10</v>
      </c>
      <c r="G262">
        <v>27</v>
      </c>
      <c r="I262" t="s">
        <v>564</v>
      </c>
      <c r="J262" t="s">
        <v>13</v>
      </c>
      <c r="K262" t="b">
        <v>1</v>
      </c>
      <c r="L262">
        <v>33</v>
      </c>
      <c r="M262" t="s">
        <v>21</v>
      </c>
    </row>
    <row r="263" spans="1:13" x14ac:dyDescent="0.35">
      <c r="A263" s="2">
        <v>45077.574560185189</v>
      </c>
      <c r="B263" s="2" t="s">
        <v>1085</v>
      </c>
      <c r="C263" s="2" t="str">
        <f t="shared" si="4"/>
        <v>Wednesday</v>
      </c>
      <c r="D263" s="26">
        <v>0.54166666666666663</v>
      </c>
      <c r="E263" t="s">
        <v>565</v>
      </c>
      <c r="F263" t="s">
        <v>12</v>
      </c>
      <c r="G263">
        <v>4</v>
      </c>
      <c r="I263" t="s">
        <v>566</v>
      </c>
      <c r="J263" t="s">
        <v>15</v>
      </c>
      <c r="K263" t="b">
        <v>1</v>
      </c>
      <c r="L263">
        <v>15</v>
      </c>
      <c r="M263" t="s">
        <v>21</v>
      </c>
    </row>
    <row r="264" spans="1:13" x14ac:dyDescent="0.35">
      <c r="A264" s="2">
        <v>45077.86409722222</v>
      </c>
      <c r="B264" s="2" t="s">
        <v>1085</v>
      </c>
      <c r="C264" s="2" t="str">
        <f t="shared" si="4"/>
        <v>Wednesday</v>
      </c>
      <c r="D264" s="26">
        <v>0.83333333333333337</v>
      </c>
      <c r="E264" t="s">
        <v>567</v>
      </c>
      <c r="F264" t="s">
        <v>10</v>
      </c>
      <c r="G264">
        <v>33</v>
      </c>
      <c r="I264" t="s">
        <v>568</v>
      </c>
      <c r="J264" t="s">
        <v>11</v>
      </c>
      <c r="K264" t="b">
        <v>1</v>
      </c>
      <c r="L264">
        <v>24</v>
      </c>
      <c r="M264" t="s">
        <v>21</v>
      </c>
    </row>
    <row r="265" spans="1:13" x14ac:dyDescent="0.35">
      <c r="A265" s="2">
        <v>45077.933530092596</v>
      </c>
      <c r="B265" s="2" t="s">
        <v>1085</v>
      </c>
      <c r="C265" s="2" t="str">
        <f t="shared" si="4"/>
        <v>Wednesday</v>
      </c>
      <c r="D265" s="26">
        <v>0.91666666666666663</v>
      </c>
      <c r="E265" t="s">
        <v>569</v>
      </c>
      <c r="F265" t="s">
        <v>10</v>
      </c>
      <c r="G265">
        <v>65</v>
      </c>
      <c r="H265">
        <v>10</v>
      </c>
      <c r="I265" t="s">
        <v>570</v>
      </c>
      <c r="J265" t="s">
        <v>15</v>
      </c>
      <c r="K265" t="b">
        <v>1</v>
      </c>
      <c r="L265">
        <v>59</v>
      </c>
      <c r="M265" t="s">
        <v>21</v>
      </c>
    </row>
    <row r="266" spans="1:13" x14ac:dyDescent="0.35">
      <c r="A266" s="2">
        <v>45078.028032407405</v>
      </c>
      <c r="B266" s="2" t="s">
        <v>1086</v>
      </c>
      <c r="C266" s="2" t="str">
        <f t="shared" si="4"/>
        <v>Thursday</v>
      </c>
      <c r="D266" s="26">
        <v>0</v>
      </c>
      <c r="E266" t="s">
        <v>571</v>
      </c>
      <c r="F266" t="s">
        <v>10</v>
      </c>
      <c r="G266">
        <v>71</v>
      </c>
      <c r="H266">
        <v>6</v>
      </c>
      <c r="I266" t="s">
        <v>572</v>
      </c>
      <c r="J266" t="s">
        <v>13</v>
      </c>
      <c r="K266" t="b">
        <v>0</v>
      </c>
      <c r="L266">
        <v>53</v>
      </c>
      <c r="M266" t="s">
        <v>21</v>
      </c>
    </row>
    <row r="267" spans="1:13" x14ac:dyDescent="0.35">
      <c r="A267" s="2">
        <v>45078.157766203702</v>
      </c>
      <c r="B267" s="2" t="s">
        <v>1086</v>
      </c>
      <c r="C267" s="2" t="str">
        <f t="shared" si="4"/>
        <v>Thursday</v>
      </c>
      <c r="D267" s="26">
        <v>0.125</v>
      </c>
      <c r="E267" t="s">
        <v>573</v>
      </c>
      <c r="F267" t="s">
        <v>10</v>
      </c>
      <c r="G267">
        <v>10</v>
      </c>
      <c r="I267" t="s">
        <v>574</v>
      </c>
      <c r="J267" t="s">
        <v>14</v>
      </c>
      <c r="K267" t="b">
        <v>1</v>
      </c>
      <c r="L267">
        <v>15</v>
      </c>
      <c r="M267" t="s">
        <v>21</v>
      </c>
    </row>
    <row r="268" spans="1:13" x14ac:dyDescent="0.35">
      <c r="A268" s="2">
        <v>45078.249039351853</v>
      </c>
      <c r="B268" s="2" t="s">
        <v>1086</v>
      </c>
      <c r="C268" s="2" t="str">
        <f t="shared" si="4"/>
        <v>Thursday</v>
      </c>
      <c r="D268" s="26">
        <v>0.20833333333333334</v>
      </c>
      <c r="E268" t="s">
        <v>575</v>
      </c>
      <c r="F268" t="s">
        <v>12</v>
      </c>
      <c r="G268">
        <v>38</v>
      </c>
      <c r="I268" t="s">
        <v>576</v>
      </c>
      <c r="J268" t="s">
        <v>16</v>
      </c>
      <c r="K268" t="b">
        <v>0</v>
      </c>
      <c r="L268">
        <v>56</v>
      </c>
      <c r="M268" t="s">
        <v>21</v>
      </c>
    </row>
    <row r="269" spans="1:13" x14ac:dyDescent="0.35">
      <c r="A269" s="2">
        <v>45078.762361111112</v>
      </c>
      <c r="B269" s="2" t="s">
        <v>1086</v>
      </c>
      <c r="C269" s="2" t="str">
        <f t="shared" si="4"/>
        <v>Thursday</v>
      </c>
      <c r="D269" s="26">
        <v>0.75</v>
      </c>
      <c r="E269" t="s">
        <v>577</v>
      </c>
      <c r="F269" t="s">
        <v>12</v>
      </c>
      <c r="G269">
        <v>24</v>
      </c>
      <c r="I269" t="s">
        <v>578</v>
      </c>
      <c r="J269" t="s">
        <v>15</v>
      </c>
      <c r="K269" t="b">
        <v>1</v>
      </c>
      <c r="L269">
        <v>48</v>
      </c>
      <c r="M269" t="s">
        <v>21</v>
      </c>
    </row>
    <row r="270" spans="1:13" x14ac:dyDescent="0.35">
      <c r="A270" s="2">
        <v>45078.82540509259</v>
      </c>
      <c r="B270" s="2" t="s">
        <v>1086</v>
      </c>
      <c r="C270" s="2" t="str">
        <f t="shared" si="4"/>
        <v>Thursday</v>
      </c>
      <c r="D270" s="26">
        <v>0.79166666666666663</v>
      </c>
      <c r="E270" t="s">
        <v>579</v>
      </c>
      <c r="F270" t="s">
        <v>10</v>
      </c>
      <c r="G270">
        <v>2</v>
      </c>
      <c r="H270">
        <v>4</v>
      </c>
      <c r="I270" t="s">
        <v>580</v>
      </c>
      <c r="J270" t="s">
        <v>14</v>
      </c>
      <c r="K270" t="b">
        <v>1</v>
      </c>
      <c r="L270">
        <v>51</v>
      </c>
      <c r="M270" t="s">
        <v>21</v>
      </c>
    </row>
    <row r="271" spans="1:13" x14ac:dyDescent="0.35">
      <c r="A271" s="2">
        <v>45079.964375000003</v>
      </c>
      <c r="B271" s="2" t="s">
        <v>1086</v>
      </c>
      <c r="C271" s="2" t="str">
        <f t="shared" si="4"/>
        <v>Friday</v>
      </c>
      <c r="D271" s="26">
        <v>0.95833333333333337</v>
      </c>
      <c r="E271" t="s">
        <v>582</v>
      </c>
      <c r="F271" t="s">
        <v>10</v>
      </c>
      <c r="G271">
        <v>64</v>
      </c>
      <c r="I271" t="s">
        <v>583</v>
      </c>
      <c r="J271" t="s">
        <v>14</v>
      </c>
      <c r="K271" t="b">
        <v>1</v>
      </c>
      <c r="L271">
        <v>44</v>
      </c>
      <c r="M271" t="s">
        <v>21</v>
      </c>
    </row>
    <row r="272" spans="1:13" x14ac:dyDescent="0.35">
      <c r="A272" s="2">
        <v>45080.181111111109</v>
      </c>
      <c r="B272" s="2" t="s">
        <v>1086</v>
      </c>
      <c r="C272" s="2" t="str">
        <f t="shared" si="4"/>
        <v>Saturday</v>
      </c>
      <c r="D272" s="26">
        <v>0.16666666666666666</v>
      </c>
      <c r="E272" t="s">
        <v>584</v>
      </c>
      <c r="F272" t="s">
        <v>12</v>
      </c>
      <c r="G272">
        <v>64</v>
      </c>
      <c r="I272" t="s">
        <v>585</v>
      </c>
      <c r="J272" t="s">
        <v>11</v>
      </c>
      <c r="K272" t="b">
        <v>0</v>
      </c>
      <c r="L272">
        <v>43</v>
      </c>
      <c r="M272" t="s">
        <v>21</v>
      </c>
    </row>
    <row r="273" spans="1:13" x14ac:dyDescent="0.35">
      <c r="A273" s="2">
        <v>45080.186979166669</v>
      </c>
      <c r="B273" s="2" t="s">
        <v>1086</v>
      </c>
      <c r="C273" s="2" t="str">
        <f t="shared" si="4"/>
        <v>Saturday</v>
      </c>
      <c r="D273" s="26">
        <v>0.16666666666666666</v>
      </c>
      <c r="E273" t="s">
        <v>586</v>
      </c>
      <c r="F273" t="s">
        <v>12</v>
      </c>
      <c r="G273">
        <v>12</v>
      </c>
      <c r="H273">
        <v>4</v>
      </c>
      <c r="I273" t="s">
        <v>587</v>
      </c>
      <c r="J273" t="s">
        <v>14</v>
      </c>
      <c r="K273" t="b">
        <v>0</v>
      </c>
      <c r="L273">
        <v>57</v>
      </c>
      <c r="M273" t="s">
        <v>21</v>
      </c>
    </row>
    <row r="274" spans="1:13" x14ac:dyDescent="0.35">
      <c r="A274" s="2">
        <v>45080.511620370373</v>
      </c>
      <c r="B274" s="2" t="s">
        <v>1086</v>
      </c>
      <c r="C274" s="2" t="str">
        <f t="shared" si="4"/>
        <v>Saturday</v>
      </c>
      <c r="D274" s="26">
        <v>0.5</v>
      </c>
      <c r="E274" t="s">
        <v>588</v>
      </c>
      <c r="F274" t="s">
        <v>12</v>
      </c>
      <c r="G274">
        <v>25</v>
      </c>
      <c r="H274">
        <v>4</v>
      </c>
      <c r="I274" t="s">
        <v>589</v>
      </c>
      <c r="J274" t="s">
        <v>17</v>
      </c>
      <c r="K274" t="b">
        <v>0</v>
      </c>
      <c r="L274">
        <v>32</v>
      </c>
      <c r="M274" t="s">
        <v>21</v>
      </c>
    </row>
    <row r="275" spans="1:13" x14ac:dyDescent="0.35">
      <c r="A275" s="2">
        <v>45080.963113425925</v>
      </c>
      <c r="B275" s="2" t="s">
        <v>1086</v>
      </c>
      <c r="C275" s="2" t="str">
        <f t="shared" si="4"/>
        <v>Saturday</v>
      </c>
      <c r="D275" s="26">
        <v>0.95833333333333337</v>
      </c>
      <c r="E275" t="s">
        <v>590</v>
      </c>
      <c r="F275" t="s">
        <v>12</v>
      </c>
      <c r="G275">
        <v>56</v>
      </c>
      <c r="I275" t="s">
        <v>591</v>
      </c>
      <c r="J275" t="s">
        <v>13</v>
      </c>
      <c r="K275" t="b">
        <v>0</v>
      </c>
      <c r="L275">
        <v>40</v>
      </c>
      <c r="M275" t="s">
        <v>21</v>
      </c>
    </row>
    <row r="276" spans="1:13" x14ac:dyDescent="0.35">
      <c r="A276" s="2">
        <v>45081.137430555558</v>
      </c>
      <c r="B276" s="2" t="s">
        <v>1086</v>
      </c>
      <c r="C276" s="2" t="str">
        <f t="shared" si="4"/>
        <v>Sunday</v>
      </c>
      <c r="D276" s="26">
        <v>0.125</v>
      </c>
      <c r="E276" t="s">
        <v>592</v>
      </c>
      <c r="F276" t="s">
        <v>12</v>
      </c>
      <c r="G276">
        <v>13</v>
      </c>
      <c r="I276" t="s">
        <v>593</v>
      </c>
      <c r="J276" t="s">
        <v>15</v>
      </c>
      <c r="K276" t="b">
        <v>1</v>
      </c>
      <c r="L276">
        <v>28</v>
      </c>
      <c r="M276" t="s">
        <v>21</v>
      </c>
    </row>
    <row r="277" spans="1:13" x14ac:dyDescent="0.35">
      <c r="A277" s="2">
        <v>45082.746134259258</v>
      </c>
      <c r="B277" s="2" t="s">
        <v>1086</v>
      </c>
      <c r="C277" s="2" t="str">
        <f t="shared" si="4"/>
        <v>Monday</v>
      </c>
      <c r="D277" s="26">
        <v>0.70833333333333337</v>
      </c>
      <c r="E277" t="s">
        <v>594</v>
      </c>
      <c r="F277" t="s">
        <v>10</v>
      </c>
      <c r="G277">
        <v>40</v>
      </c>
      <c r="H277">
        <v>3</v>
      </c>
      <c r="I277" t="s">
        <v>595</v>
      </c>
      <c r="J277" t="s">
        <v>11</v>
      </c>
      <c r="K277" t="b">
        <v>1</v>
      </c>
      <c r="L277">
        <v>40</v>
      </c>
      <c r="M277" t="s">
        <v>21</v>
      </c>
    </row>
    <row r="278" spans="1:13" x14ac:dyDescent="0.35">
      <c r="A278" s="2">
        <v>45083.061724537038</v>
      </c>
      <c r="B278" s="2" t="s">
        <v>1086</v>
      </c>
      <c r="C278" s="2" t="str">
        <f t="shared" si="4"/>
        <v>Tuesday</v>
      </c>
      <c r="D278" s="26">
        <v>4.1666666666666664E-2</v>
      </c>
      <c r="E278" t="s">
        <v>596</v>
      </c>
      <c r="F278" t="s">
        <v>10</v>
      </c>
      <c r="G278">
        <v>29</v>
      </c>
      <c r="H278">
        <v>1</v>
      </c>
      <c r="I278" t="s">
        <v>235</v>
      </c>
      <c r="J278" t="s">
        <v>11</v>
      </c>
      <c r="K278" t="b">
        <v>0</v>
      </c>
      <c r="L278">
        <v>18</v>
      </c>
      <c r="M278" t="s">
        <v>21</v>
      </c>
    </row>
    <row r="279" spans="1:13" x14ac:dyDescent="0.35">
      <c r="A279" s="2">
        <v>45083.846655092595</v>
      </c>
      <c r="B279" s="2" t="s">
        <v>1086</v>
      </c>
      <c r="C279" s="2" t="str">
        <f t="shared" si="4"/>
        <v>Tuesday</v>
      </c>
      <c r="D279" s="26">
        <v>0.83333333333333337</v>
      </c>
      <c r="E279" t="s">
        <v>597</v>
      </c>
      <c r="F279" t="s">
        <v>12</v>
      </c>
      <c r="G279">
        <v>12</v>
      </c>
      <c r="I279" t="s">
        <v>598</v>
      </c>
      <c r="J279" t="s">
        <v>13</v>
      </c>
      <c r="K279" t="b">
        <v>1</v>
      </c>
      <c r="L279">
        <v>60</v>
      </c>
      <c r="M279" t="s">
        <v>21</v>
      </c>
    </row>
    <row r="280" spans="1:13" x14ac:dyDescent="0.35">
      <c r="A280" s="2">
        <v>45084.135925925926</v>
      </c>
      <c r="B280" s="2" t="s">
        <v>1086</v>
      </c>
      <c r="C280" s="2" t="str">
        <f t="shared" si="4"/>
        <v>Wednesday</v>
      </c>
      <c r="D280" s="26">
        <v>0.125</v>
      </c>
      <c r="E280" t="s">
        <v>599</v>
      </c>
      <c r="F280" t="s">
        <v>10</v>
      </c>
      <c r="G280">
        <v>21</v>
      </c>
      <c r="I280" t="s">
        <v>600</v>
      </c>
      <c r="J280" t="s">
        <v>11</v>
      </c>
      <c r="K280" t="b">
        <v>1</v>
      </c>
      <c r="L280">
        <v>26</v>
      </c>
      <c r="M280" t="s">
        <v>21</v>
      </c>
    </row>
    <row r="281" spans="1:13" x14ac:dyDescent="0.35">
      <c r="A281" s="2">
        <v>45085.872708333336</v>
      </c>
      <c r="B281" s="2" t="s">
        <v>1086</v>
      </c>
      <c r="C281" s="2" t="str">
        <f t="shared" si="4"/>
        <v>Thursday</v>
      </c>
      <c r="D281" s="26">
        <v>0.83333333333333337</v>
      </c>
      <c r="E281" t="s">
        <v>602</v>
      </c>
      <c r="F281" t="s">
        <v>12</v>
      </c>
      <c r="G281">
        <v>36</v>
      </c>
      <c r="I281" t="s">
        <v>603</v>
      </c>
      <c r="J281" t="s">
        <v>13</v>
      </c>
      <c r="K281" t="b">
        <v>0</v>
      </c>
      <c r="L281">
        <v>19</v>
      </c>
      <c r="M281" t="s">
        <v>21</v>
      </c>
    </row>
    <row r="282" spans="1:13" x14ac:dyDescent="0.35">
      <c r="A282" s="2">
        <v>45086.658935185187</v>
      </c>
      <c r="B282" s="2" t="s">
        <v>1086</v>
      </c>
      <c r="C282" s="2" t="str">
        <f t="shared" si="4"/>
        <v>Friday</v>
      </c>
      <c r="D282" s="26">
        <v>0.625</v>
      </c>
      <c r="E282" t="s">
        <v>604</v>
      </c>
      <c r="F282" t="s">
        <v>10</v>
      </c>
      <c r="G282">
        <v>72</v>
      </c>
      <c r="H282">
        <v>10</v>
      </c>
      <c r="I282" t="s">
        <v>605</v>
      </c>
      <c r="J282" t="s">
        <v>15</v>
      </c>
      <c r="K282" t="b">
        <v>0</v>
      </c>
      <c r="L282">
        <v>34</v>
      </c>
      <c r="M282" t="s">
        <v>21</v>
      </c>
    </row>
    <row r="283" spans="1:13" x14ac:dyDescent="0.35">
      <c r="A283" s="2">
        <v>45087.098553240743</v>
      </c>
      <c r="B283" s="2" t="s">
        <v>1086</v>
      </c>
      <c r="C283" s="2" t="str">
        <f t="shared" si="4"/>
        <v>Saturday</v>
      </c>
      <c r="D283" s="26">
        <v>8.3333333333333329E-2</v>
      </c>
      <c r="E283" t="s">
        <v>606</v>
      </c>
      <c r="F283" t="s">
        <v>10</v>
      </c>
      <c r="G283">
        <v>51</v>
      </c>
      <c r="I283" t="s">
        <v>607</v>
      </c>
      <c r="J283" t="s">
        <v>15</v>
      </c>
      <c r="K283" t="b">
        <v>1</v>
      </c>
      <c r="L283">
        <v>40</v>
      </c>
      <c r="M283" t="s">
        <v>21</v>
      </c>
    </row>
    <row r="284" spans="1:13" x14ac:dyDescent="0.35">
      <c r="A284" s="2">
        <v>45087.40587962963</v>
      </c>
      <c r="B284" s="2" t="s">
        <v>1086</v>
      </c>
      <c r="C284" s="2" t="str">
        <f t="shared" si="4"/>
        <v>Saturday</v>
      </c>
      <c r="D284" s="26">
        <v>0.375</v>
      </c>
      <c r="E284" t="s">
        <v>608</v>
      </c>
      <c r="F284" t="s">
        <v>10</v>
      </c>
      <c r="G284">
        <v>26</v>
      </c>
      <c r="I284" t="s">
        <v>609</v>
      </c>
      <c r="J284" t="s">
        <v>13</v>
      </c>
      <c r="K284" t="b">
        <v>1</v>
      </c>
      <c r="L284">
        <v>53</v>
      </c>
      <c r="M284" t="s">
        <v>21</v>
      </c>
    </row>
    <row r="285" spans="1:13" x14ac:dyDescent="0.35">
      <c r="A285" s="2">
        <v>45087.844490740739</v>
      </c>
      <c r="B285" s="2" t="s">
        <v>1086</v>
      </c>
      <c r="C285" s="2" t="str">
        <f t="shared" si="4"/>
        <v>Saturday</v>
      </c>
      <c r="D285" s="26">
        <v>0.83333333333333337</v>
      </c>
      <c r="E285" t="s">
        <v>610</v>
      </c>
      <c r="F285" t="s">
        <v>12</v>
      </c>
      <c r="G285">
        <v>74</v>
      </c>
      <c r="H285">
        <v>4</v>
      </c>
      <c r="I285" t="s">
        <v>611</v>
      </c>
      <c r="J285" t="s">
        <v>13</v>
      </c>
      <c r="K285" t="b">
        <v>1</v>
      </c>
      <c r="L285">
        <v>32</v>
      </c>
      <c r="M285" t="s">
        <v>21</v>
      </c>
    </row>
    <row r="286" spans="1:13" x14ac:dyDescent="0.35">
      <c r="A286" s="2">
        <v>45089.001319444447</v>
      </c>
      <c r="B286" s="2" t="s">
        <v>1086</v>
      </c>
      <c r="C286" s="2" t="str">
        <f t="shared" si="4"/>
        <v>Monday</v>
      </c>
      <c r="D286" s="26">
        <v>0</v>
      </c>
      <c r="E286" t="s">
        <v>612</v>
      </c>
      <c r="F286" t="s">
        <v>12</v>
      </c>
      <c r="G286">
        <v>29</v>
      </c>
      <c r="H286">
        <v>1</v>
      </c>
      <c r="I286" t="s">
        <v>613</v>
      </c>
      <c r="J286" t="s">
        <v>13</v>
      </c>
      <c r="K286" t="b">
        <v>0</v>
      </c>
      <c r="L286">
        <v>25</v>
      </c>
      <c r="M286" t="s">
        <v>21</v>
      </c>
    </row>
    <row r="287" spans="1:13" x14ac:dyDescent="0.35">
      <c r="A287" s="2">
        <v>45089.747361111113</v>
      </c>
      <c r="B287" s="2" t="s">
        <v>1086</v>
      </c>
      <c r="C287" s="2" t="str">
        <f t="shared" si="4"/>
        <v>Monday</v>
      </c>
      <c r="D287" s="26">
        <v>0.70833333333333337</v>
      </c>
      <c r="E287" t="s">
        <v>614</v>
      </c>
      <c r="F287" t="s">
        <v>10</v>
      </c>
      <c r="G287">
        <v>54</v>
      </c>
      <c r="I287" t="s">
        <v>615</v>
      </c>
      <c r="J287" t="s">
        <v>14</v>
      </c>
      <c r="K287" t="b">
        <v>1</v>
      </c>
      <c r="L287">
        <v>57</v>
      </c>
      <c r="M287" t="s">
        <v>21</v>
      </c>
    </row>
    <row r="288" spans="1:13" x14ac:dyDescent="0.35">
      <c r="A288" s="2">
        <v>45089.881701388891</v>
      </c>
      <c r="B288" s="2" t="s">
        <v>1086</v>
      </c>
      <c r="C288" s="2" t="str">
        <f t="shared" si="4"/>
        <v>Monday</v>
      </c>
      <c r="D288" s="26">
        <v>0.875</v>
      </c>
      <c r="E288" t="s">
        <v>616</v>
      </c>
      <c r="F288" t="s">
        <v>12</v>
      </c>
      <c r="G288">
        <v>4</v>
      </c>
      <c r="I288" t="s">
        <v>617</v>
      </c>
      <c r="J288" t="s">
        <v>13</v>
      </c>
      <c r="K288" t="b">
        <v>1</v>
      </c>
      <c r="L288">
        <v>14</v>
      </c>
      <c r="M288" t="s">
        <v>21</v>
      </c>
    </row>
    <row r="289" spans="1:13" x14ac:dyDescent="0.35">
      <c r="A289" s="2">
        <v>45090.395358796297</v>
      </c>
      <c r="B289" s="2" t="s">
        <v>1086</v>
      </c>
      <c r="C289" s="2" t="str">
        <f t="shared" si="4"/>
        <v>Tuesday</v>
      </c>
      <c r="D289" s="26">
        <v>0.375</v>
      </c>
      <c r="E289" t="s">
        <v>618</v>
      </c>
      <c r="F289" t="s">
        <v>12</v>
      </c>
      <c r="G289">
        <v>27</v>
      </c>
      <c r="H289">
        <v>7</v>
      </c>
      <c r="I289" t="s">
        <v>619</v>
      </c>
      <c r="J289" t="s">
        <v>17</v>
      </c>
      <c r="K289" t="b">
        <v>1</v>
      </c>
      <c r="L289">
        <v>52</v>
      </c>
      <c r="M289" t="s">
        <v>21</v>
      </c>
    </row>
    <row r="290" spans="1:13" x14ac:dyDescent="0.35">
      <c r="A290" s="2">
        <v>45090.701874999999</v>
      </c>
      <c r="B290" s="2" t="s">
        <v>1086</v>
      </c>
      <c r="C290" s="2" t="str">
        <f t="shared" si="4"/>
        <v>Tuesday</v>
      </c>
      <c r="D290" s="26">
        <v>0.66666666666666663</v>
      </c>
      <c r="E290" t="s">
        <v>620</v>
      </c>
      <c r="F290" t="s">
        <v>12</v>
      </c>
      <c r="G290">
        <v>54</v>
      </c>
      <c r="I290" t="s">
        <v>621</v>
      </c>
      <c r="J290" t="s">
        <v>13</v>
      </c>
      <c r="K290" t="b">
        <v>0</v>
      </c>
      <c r="L290">
        <v>25</v>
      </c>
      <c r="M290" t="s">
        <v>21</v>
      </c>
    </row>
    <row r="291" spans="1:13" x14ac:dyDescent="0.35">
      <c r="A291" s="2">
        <v>45090.975300925929</v>
      </c>
      <c r="B291" s="2" t="s">
        <v>1086</v>
      </c>
      <c r="C291" s="2" t="str">
        <f t="shared" si="4"/>
        <v>Tuesday</v>
      </c>
      <c r="D291" s="26">
        <v>0.95833333333333337</v>
      </c>
      <c r="E291" t="s">
        <v>622</v>
      </c>
      <c r="F291" t="s">
        <v>10</v>
      </c>
      <c r="G291">
        <v>60</v>
      </c>
      <c r="H291">
        <v>7</v>
      </c>
      <c r="I291" t="s">
        <v>623</v>
      </c>
      <c r="J291" t="s">
        <v>11</v>
      </c>
      <c r="K291" t="b">
        <v>0</v>
      </c>
      <c r="L291">
        <v>26</v>
      </c>
      <c r="M291" t="s">
        <v>21</v>
      </c>
    </row>
    <row r="292" spans="1:13" x14ac:dyDescent="0.35">
      <c r="A292" s="2">
        <v>45091.407361111109</v>
      </c>
      <c r="B292" s="2" t="s">
        <v>1086</v>
      </c>
      <c r="C292" s="2" t="str">
        <f t="shared" si="4"/>
        <v>Wednesday</v>
      </c>
      <c r="D292" s="26">
        <v>0.375</v>
      </c>
      <c r="E292" t="s">
        <v>624</v>
      </c>
      <c r="F292" t="s">
        <v>12</v>
      </c>
      <c r="G292">
        <v>16</v>
      </c>
      <c r="I292" t="s">
        <v>625</v>
      </c>
      <c r="J292" t="s">
        <v>13</v>
      </c>
      <c r="K292" t="b">
        <v>0</v>
      </c>
      <c r="L292">
        <v>48</v>
      </c>
      <c r="M292" t="s">
        <v>21</v>
      </c>
    </row>
    <row r="293" spans="1:13" x14ac:dyDescent="0.35">
      <c r="A293" s="2">
        <v>45091.780891203707</v>
      </c>
      <c r="B293" s="2" t="s">
        <v>1086</v>
      </c>
      <c r="C293" s="2" t="str">
        <f t="shared" si="4"/>
        <v>Wednesday</v>
      </c>
      <c r="D293" s="26">
        <v>0.75</v>
      </c>
      <c r="E293" t="s">
        <v>626</v>
      </c>
      <c r="F293" t="s">
        <v>12</v>
      </c>
      <c r="G293">
        <v>56</v>
      </c>
      <c r="H293">
        <v>3</v>
      </c>
      <c r="I293" t="s">
        <v>627</v>
      </c>
      <c r="J293" t="s">
        <v>15</v>
      </c>
      <c r="K293" t="b">
        <v>0</v>
      </c>
      <c r="L293">
        <v>45</v>
      </c>
      <c r="M293" t="s">
        <v>21</v>
      </c>
    </row>
    <row r="294" spans="1:13" x14ac:dyDescent="0.35">
      <c r="A294" s="2">
        <v>45092.753206018519</v>
      </c>
      <c r="B294" s="2" t="s">
        <v>1086</v>
      </c>
      <c r="C294" s="2" t="str">
        <f t="shared" si="4"/>
        <v>Thursday</v>
      </c>
      <c r="D294" s="26">
        <v>0.75</v>
      </c>
      <c r="E294" t="s">
        <v>628</v>
      </c>
      <c r="F294" t="s">
        <v>10</v>
      </c>
      <c r="G294">
        <v>12</v>
      </c>
      <c r="I294" t="s">
        <v>629</v>
      </c>
      <c r="J294" t="s">
        <v>15</v>
      </c>
      <c r="K294" t="b">
        <v>1</v>
      </c>
      <c r="L294">
        <v>52</v>
      </c>
      <c r="M294" t="s">
        <v>21</v>
      </c>
    </row>
    <row r="295" spans="1:13" x14ac:dyDescent="0.35">
      <c r="A295" s="2">
        <v>45093.758287037039</v>
      </c>
      <c r="B295" s="2" t="s">
        <v>1086</v>
      </c>
      <c r="C295" s="2" t="str">
        <f t="shared" si="4"/>
        <v>Friday</v>
      </c>
      <c r="D295" s="26">
        <v>0.75</v>
      </c>
      <c r="E295" t="s">
        <v>630</v>
      </c>
      <c r="F295" t="s">
        <v>10</v>
      </c>
      <c r="G295">
        <v>7</v>
      </c>
      <c r="I295" t="s">
        <v>140</v>
      </c>
      <c r="J295" t="s">
        <v>13</v>
      </c>
      <c r="K295" t="b">
        <v>0</v>
      </c>
      <c r="L295">
        <v>22</v>
      </c>
      <c r="M295" t="s">
        <v>21</v>
      </c>
    </row>
    <row r="296" spans="1:13" x14ac:dyDescent="0.35">
      <c r="A296" s="2">
        <v>45094.085196759261</v>
      </c>
      <c r="B296" s="2" t="s">
        <v>1086</v>
      </c>
      <c r="C296" s="2" t="str">
        <f t="shared" si="4"/>
        <v>Saturday</v>
      </c>
      <c r="D296" s="26">
        <v>8.3333333333333329E-2</v>
      </c>
      <c r="E296" t="s">
        <v>631</v>
      </c>
      <c r="F296" t="s">
        <v>10</v>
      </c>
      <c r="G296">
        <v>54</v>
      </c>
      <c r="I296" t="s">
        <v>632</v>
      </c>
      <c r="J296" t="s">
        <v>17</v>
      </c>
      <c r="K296" t="b">
        <v>1</v>
      </c>
      <c r="L296">
        <v>47</v>
      </c>
      <c r="M296" t="s">
        <v>21</v>
      </c>
    </row>
    <row r="297" spans="1:13" x14ac:dyDescent="0.35">
      <c r="A297" s="2">
        <v>45094.802361111113</v>
      </c>
      <c r="B297" s="2" t="s">
        <v>1086</v>
      </c>
      <c r="C297" s="2" t="str">
        <f t="shared" si="4"/>
        <v>Saturday</v>
      </c>
      <c r="D297" s="26">
        <v>0.79166666666666663</v>
      </c>
      <c r="E297" t="s">
        <v>633</v>
      </c>
      <c r="F297" t="s">
        <v>12</v>
      </c>
      <c r="G297">
        <v>77</v>
      </c>
      <c r="I297" t="s">
        <v>634</v>
      </c>
      <c r="J297" t="s">
        <v>11</v>
      </c>
      <c r="K297" t="b">
        <v>1</v>
      </c>
      <c r="L297">
        <v>23</v>
      </c>
      <c r="M297" t="s">
        <v>21</v>
      </c>
    </row>
    <row r="298" spans="1:13" x14ac:dyDescent="0.35">
      <c r="A298" s="2">
        <v>45094.950972222221</v>
      </c>
      <c r="B298" s="2" t="s">
        <v>1086</v>
      </c>
      <c r="C298" s="2" t="str">
        <f t="shared" si="4"/>
        <v>Saturday</v>
      </c>
      <c r="D298" s="26">
        <v>0.91666666666666663</v>
      </c>
      <c r="E298" t="s">
        <v>635</v>
      </c>
      <c r="F298" t="s">
        <v>10</v>
      </c>
      <c r="G298">
        <v>8</v>
      </c>
      <c r="I298" t="s">
        <v>636</v>
      </c>
      <c r="J298" t="s">
        <v>16</v>
      </c>
      <c r="K298" t="b">
        <v>1</v>
      </c>
      <c r="L298">
        <v>25</v>
      </c>
      <c r="M298" t="s">
        <v>21</v>
      </c>
    </row>
    <row r="299" spans="1:13" x14ac:dyDescent="0.35">
      <c r="A299" s="2">
        <v>45095.300763888888</v>
      </c>
      <c r="B299" s="2" t="s">
        <v>1086</v>
      </c>
      <c r="C299" s="2" t="str">
        <f t="shared" si="4"/>
        <v>Sunday</v>
      </c>
      <c r="D299" s="26">
        <v>0.29166666666666669</v>
      </c>
      <c r="E299" t="s">
        <v>637</v>
      </c>
      <c r="F299" t="s">
        <v>12</v>
      </c>
      <c r="G299">
        <v>54</v>
      </c>
      <c r="I299" t="s">
        <v>638</v>
      </c>
      <c r="J299" t="s">
        <v>15</v>
      </c>
      <c r="K299" t="b">
        <v>0</v>
      </c>
      <c r="L299">
        <v>23</v>
      </c>
      <c r="M299" t="s">
        <v>21</v>
      </c>
    </row>
    <row r="300" spans="1:13" x14ac:dyDescent="0.35">
      <c r="A300" s="2">
        <v>45095.690717592595</v>
      </c>
      <c r="B300" s="2" t="s">
        <v>1086</v>
      </c>
      <c r="C300" s="2" t="str">
        <f t="shared" si="4"/>
        <v>Sunday</v>
      </c>
      <c r="D300" s="26">
        <v>0.66666666666666663</v>
      </c>
      <c r="E300" t="s">
        <v>639</v>
      </c>
      <c r="F300" t="s">
        <v>10</v>
      </c>
      <c r="G300">
        <v>40</v>
      </c>
      <c r="H300">
        <v>4</v>
      </c>
      <c r="I300" t="s">
        <v>640</v>
      </c>
      <c r="J300" t="s">
        <v>15</v>
      </c>
      <c r="K300" t="b">
        <v>0</v>
      </c>
      <c r="L300">
        <v>19</v>
      </c>
      <c r="M300" t="s">
        <v>21</v>
      </c>
    </row>
    <row r="301" spans="1:13" x14ac:dyDescent="0.35">
      <c r="A301" s="2">
        <v>45096.358090277776</v>
      </c>
      <c r="B301" s="2" t="s">
        <v>1086</v>
      </c>
      <c r="C301" s="2" t="str">
        <f t="shared" si="4"/>
        <v>Monday</v>
      </c>
      <c r="D301" s="26">
        <v>0.33333333333333331</v>
      </c>
      <c r="E301" t="s">
        <v>641</v>
      </c>
      <c r="F301" t="s">
        <v>12</v>
      </c>
      <c r="G301">
        <v>78</v>
      </c>
      <c r="I301" t="s">
        <v>642</v>
      </c>
      <c r="J301" t="s">
        <v>16</v>
      </c>
      <c r="K301" t="b">
        <v>0</v>
      </c>
      <c r="L301">
        <v>47</v>
      </c>
      <c r="M301" t="s">
        <v>21</v>
      </c>
    </row>
    <row r="302" spans="1:13" x14ac:dyDescent="0.35">
      <c r="A302" s="2">
        <v>45096.883831018517</v>
      </c>
      <c r="B302" s="2" t="s">
        <v>1086</v>
      </c>
      <c r="C302" s="2" t="str">
        <f t="shared" si="4"/>
        <v>Monday</v>
      </c>
      <c r="D302" s="26">
        <v>0.875</v>
      </c>
      <c r="E302" t="s">
        <v>643</v>
      </c>
      <c r="F302" t="s">
        <v>10</v>
      </c>
      <c r="G302">
        <v>49</v>
      </c>
      <c r="I302" t="s">
        <v>304</v>
      </c>
      <c r="J302" t="s">
        <v>11</v>
      </c>
      <c r="K302" t="b">
        <v>0</v>
      </c>
      <c r="L302">
        <v>18</v>
      </c>
      <c r="M302" t="s">
        <v>21</v>
      </c>
    </row>
    <row r="303" spans="1:13" x14ac:dyDescent="0.35">
      <c r="A303" s="2">
        <v>45099.982349537036</v>
      </c>
      <c r="B303" s="2" t="s">
        <v>1086</v>
      </c>
      <c r="C303" s="2" t="str">
        <f t="shared" si="4"/>
        <v>Thursday</v>
      </c>
      <c r="D303" s="26">
        <v>0.95833333333333337</v>
      </c>
      <c r="E303" t="s">
        <v>646</v>
      </c>
      <c r="F303" t="s">
        <v>12</v>
      </c>
      <c r="G303">
        <v>12</v>
      </c>
      <c r="I303" t="s">
        <v>647</v>
      </c>
      <c r="J303" t="s">
        <v>15</v>
      </c>
      <c r="K303" t="b">
        <v>0</v>
      </c>
      <c r="L303">
        <v>56</v>
      </c>
      <c r="M303" t="s">
        <v>21</v>
      </c>
    </row>
    <row r="304" spans="1:13" x14ac:dyDescent="0.35">
      <c r="A304" s="2">
        <v>45100.650231481479</v>
      </c>
      <c r="B304" s="2" t="s">
        <v>1086</v>
      </c>
      <c r="C304" s="2" t="str">
        <f t="shared" si="4"/>
        <v>Friday</v>
      </c>
      <c r="D304" s="26">
        <v>0.625</v>
      </c>
      <c r="E304" t="s">
        <v>648</v>
      </c>
      <c r="F304" t="s">
        <v>12</v>
      </c>
      <c r="G304">
        <v>9</v>
      </c>
      <c r="H304">
        <v>3</v>
      </c>
      <c r="I304" t="s">
        <v>649</v>
      </c>
      <c r="J304" t="s">
        <v>17</v>
      </c>
      <c r="K304" t="b">
        <v>1</v>
      </c>
      <c r="L304">
        <v>38</v>
      </c>
      <c r="M304" t="s">
        <v>21</v>
      </c>
    </row>
    <row r="305" spans="1:13" x14ac:dyDescent="0.35">
      <c r="A305" s="2">
        <v>45100.683993055558</v>
      </c>
      <c r="B305" s="2" t="s">
        <v>1086</v>
      </c>
      <c r="C305" s="2" t="str">
        <f t="shared" si="4"/>
        <v>Friday</v>
      </c>
      <c r="D305" s="26">
        <v>0.66666666666666663</v>
      </c>
      <c r="E305" t="s">
        <v>650</v>
      </c>
      <c r="F305" t="s">
        <v>12</v>
      </c>
      <c r="G305">
        <v>73</v>
      </c>
      <c r="I305" t="s">
        <v>651</v>
      </c>
      <c r="J305" t="s">
        <v>11</v>
      </c>
      <c r="K305" t="b">
        <v>0</v>
      </c>
      <c r="L305">
        <v>14</v>
      </c>
      <c r="M305" t="s">
        <v>21</v>
      </c>
    </row>
    <row r="306" spans="1:13" x14ac:dyDescent="0.35">
      <c r="A306" s="2">
        <v>45101.148981481485</v>
      </c>
      <c r="B306" s="2" t="s">
        <v>1086</v>
      </c>
      <c r="C306" s="2" t="str">
        <f t="shared" si="4"/>
        <v>Saturday</v>
      </c>
      <c r="D306" s="26">
        <v>0.125</v>
      </c>
      <c r="E306" t="s">
        <v>652</v>
      </c>
      <c r="F306" t="s">
        <v>10</v>
      </c>
      <c r="G306">
        <v>10</v>
      </c>
      <c r="H306">
        <v>1</v>
      </c>
      <c r="I306" t="s">
        <v>653</v>
      </c>
      <c r="J306" t="s">
        <v>11</v>
      </c>
      <c r="K306" t="b">
        <v>0</v>
      </c>
      <c r="L306">
        <v>60</v>
      </c>
      <c r="M306" t="s">
        <v>21</v>
      </c>
    </row>
    <row r="307" spans="1:13" x14ac:dyDescent="0.35">
      <c r="A307" s="2">
        <v>45101.983865740738</v>
      </c>
      <c r="B307" s="2" t="s">
        <v>1086</v>
      </c>
      <c r="C307" s="2" t="str">
        <f t="shared" si="4"/>
        <v>Saturday</v>
      </c>
      <c r="D307" s="26">
        <v>0.95833333333333337</v>
      </c>
      <c r="E307" t="s">
        <v>654</v>
      </c>
      <c r="F307" t="s">
        <v>10</v>
      </c>
      <c r="G307">
        <v>49</v>
      </c>
      <c r="I307" t="s">
        <v>527</v>
      </c>
      <c r="J307" t="s">
        <v>16</v>
      </c>
      <c r="K307" t="b">
        <v>1</v>
      </c>
      <c r="L307">
        <v>60</v>
      </c>
      <c r="M307" t="s">
        <v>21</v>
      </c>
    </row>
    <row r="308" spans="1:13" x14ac:dyDescent="0.35">
      <c r="A308" s="2">
        <v>45102.429166666669</v>
      </c>
      <c r="B308" s="2" t="s">
        <v>1086</v>
      </c>
      <c r="C308" s="2" t="str">
        <f t="shared" si="4"/>
        <v>Sunday</v>
      </c>
      <c r="D308" s="26">
        <v>0.41666666666666669</v>
      </c>
      <c r="E308" t="s">
        <v>655</v>
      </c>
      <c r="F308" t="s">
        <v>12</v>
      </c>
      <c r="G308">
        <v>28</v>
      </c>
      <c r="I308" t="s">
        <v>656</v>
      </c>
      <c r="J308" t="s">
        <v>18</v>
      </c>
      <c r="K308" t="b">
        <v>0</v>
      </c>
      <c r="L308">
        <v>13</v>
      </c>
      <c r="M308" t="s">
        <v>21</v>
      </c>
    </row>
    <row r="309" spans="1:13" x14ac:dyDescent="0.35">
      <c r="A309" s="2">
        <v>45104.264976851853</v>
      </c>
      <c r="B309" s="2" t="s">
        <v>1086</v>
      </c>
      <c r="C309" s="2" t="str">
        <f t="shared" si="4"/>
        <v>Tuesday</v>
      </c>
      <c r="D309" s="26">
        <v>0.25</v>
      </c>
      <c r="E309" t="s">
        <v>657</v>
      </c>
      <c r="F309" t="s">
        <v>12</v>
      </c>
      <c r="G309">
        <v>48</v>
      </c>
      <c r="I309" t="s">
        <v>658</v>
      </c>
      <c r="J309" t="s">
        <v>11</v>
      </c>
      <c r="K309" t="b">
        <v>0</v>
      </c>
      <c r="L309">
        <v>54</v>
      </c>
      <c r="M309" t="s">
        <v>21</v>
      </c>
    </row>
    <row r="310" spans="1:13" x14ac:dyDescent="0.35">
      <c r="A310" s="2">
        <v>45104.43545138889</v>
      </c>
      <c r="B310" s="2" t="s">
        <v>1086</v>
      </c>
      <c r="C310" s="2" t="str">
        <f t="shared" si="4"/>
        <v>Tuesday</v>
      </c>
      <c r="D310" s="26">
        <v>0.41666666666666669</v>
      </c>
      <c r="E310" t="s">
        <v>659</v>
      </c>
      <c r="F310" t="s">
        <v>12</v>
      </c>
      <c r="G310">
        <v>34</v>
      </c>
      <c r="I310" t="s">
        <v>660</v>
      </c>
      <c r="J310" t="s">
        <v>13</v>
      </c>
      <c r="K310" t="b">
        <v>1</v>
      </c>
      <c r="L310">
        <v>43</v>
      </c>
      <c r="M310" t="s">
        <v>21</v>
      </c>
    </row>
    <row r="311" spans="1:13" x14ac:dyDescent="0.35">
      <c r="A311" s="2">
        <v>45104.472314814811</v>
      </c>
      <c r="B311" s="2" t="s">
        <v>1086</v>
      </c>
      <c r="C311" s="2" t="str">
        <f t="shared" si="4"/>
        <v>Tuesday</v>
      </c>
      <c r="D311" s="26">
        <v>0.45833333333333331</v>
      </c>
      <c r="E311" t="s">
        <v>661</v>
      </c>
      <c r="F311" t="s">
        <v>10</v>
      </c>
      <c r="G311">
        <v>6</v>
      </c>
      <c r="H311">
        <v>3</v>
      </c>
      <c r="I311" t="s">
        <v>370</v>
      </c>
      <c r="J311" t="s">
        <v>11</v>
      </c>
      <c r="K311" t="b">
        <v>1</v>
      </c>
      <c r="L311">
        <v>30</v>
      </c>
      <c r="M311" t="s">
        <v>21</v>
      </c>
    </row>
    <row r="312" spans="1:13" x14ac:dyDescent="0.35">
      <c r="A312" s="2">
        <v>45104.512407407405</v>
      </c>
      <c r="B312" s="2" t="s">
        <v>1086</v>
      </c>
      <c r="C312" s="2" t="str">
        <f t="shared" si="4"/>
        <v>Tuesday</v>
      </c>
      <c r="D312" s="26">
        <v>0.5</v>
      </c>
      <c r="E312" t="s">
        <v>662</v>
      </c>
      <c r="F312" t="s">
        <v>12</v>
      </c>
      <c r="G312">
        <v>4</v>
      </c>
      <c r="I312" t="s">
        <v>663</v>
      </c>
      <c r="J312" t="s">
        <v>13</v>
      </c>
      <c r="K312" t="b">
        <v>0</v>
      </c>
      <c r="L312">
        <v>13</v>
      </c>
      <c r="M312" t="s">
        <v>21</v>
      </c>
    </row>
    <row r="313" spans="1:13" x14ac:dyDescent="0.35">
      <c r="A313" s="2">
        <v>45104.717303240737</v>
      </c>
      <c r="B313" s="2" t="s">
        <v>1086</v>
      </c>
      <c r="C313" s="2" t="str">
        <f t="shared" si="4"/>
        <v>Tuesday</v>
      </c>
      <c r="D313" s="26">
        <v>0.70833333333333337</v>
      </c>
      <c r="E313" t="s">
        <v>664</v>
      </c>
      <c r="F313" t="s">
        <v>10</v>
      </c>
      <c r="G313">
        <v>42</v>
      </c>
      <c r="I313" t="s">
        <v>665</v>
      </c>
      <c r="J313" t="s">
        <v>11</v>
      </c>
      <c r="K313" t="b">
        <v>0</v>
      </c>
      <c r="L313">
        <v>39</v>
      </c>
      <c r="M313" t="s">
        <v>21</v>
      </c>
    </row>
    <row r="314" spans="1:13" x14ac:dyDescent="0.35">
      <c r="A314" s="2">
        <v>45106.131597222222</v>
      </c>
      <c r="B314" s="2" t="s">
        <v>1086</v>
      </c>
      <c r="C314" s="2" t="str">
        <f t="shared" si="4"/>
        <v>Thursday</v>
      </c>
      <c r="D314" s="26">
        <v>0.125</v>
      </c>
      <c r="E314" t="s">
        <v>666</v>
      </c>
      <c r="F314" t="s">
        <v>12</v>
      </c>
      <c r="G314">
        <v>60</v>
      </c>
      <c r="I314" t="s">
        <v>667</v>
      </c>
      <c r="J314" t="s">
        <v>17</v>
      </c>
      <c r="K314" t="b">
        <v>0</v>
      </c>
      <c r="L314">
        <v>58</v>
      </c>
      <c r="M314" t="s">
        <v>21</v>
      </c>
    </row>
    <row r="315" spans="1:13" x14ac:dyDescent="0.35">
      <c r="A315" s="2">
        <v>45106.497997685183</v>
      </c>
      <c r="B315" s="2" t="s">
        <v>1086</v>
      </c>
      <c r="C315" s="2" t="str">
        <f t="shared" si="4"/>
        <v>Thursday</v>
      </c>
      <c r="D315" s="26">
        <v>0.45833333333333331</v>
      </c>
      <c r="E315" t="s">
        <v>668</v>
      </c>
      <c r="F315" t="s">
        <v>12</v>
      </c>
      <c r="G315">
        <v>37</v>
      </c>
      <c r="I315" t="s">
        <v>669</v>
      </c>
      <c r="J315" t="s">
        <v>15</v>
      </c>
      <c r="K315" t="b">
        <v>0</v>
      </c>
      <c r="L315">
        <v>24</v>
      </c>
      <c r="M315" t="s">
        <v>21</v>
      </c>
    </row>
    <row r="316" spans="1:13" x14ac:dyDescent="0.35">
      <c r="A316" s="2">
        <v>45106.602222222224</v>
      </c>
      <c r="B316" s="2" t="s">
        <v>1086</v>
      </c>
      <c r="C316" s="2" t="str">
        <f t="shared" si="4"/>
        <v>Thursday</v>
      </c>
      <c r="D316" s="26">
        <v>0.58333333333333337</v>
      </c>
      <c r="E316" t="s">
        <v>670</v>
      </c>
      <c r="F316" t="s">
        <v>10</v>
      </c>
      <c r="G316">
        <v>4</v>
      </c>
      <c r="I316" t="s">
        <v>671</v>
      </c>
      <c r="J316" t="s">
        <v>13</v>
      </c>
      <c r="K316" t="b">
        <v>0</v>
      </c>
      <c r="L316">
        <v>59</v>
      </c>
      <c r="M316" t="s">
        <v>21</v>
      </c>
    </row>
    <row r="317" spans="1:13" x14ac:dyDescent="0.35">
      <c r="A317" s="2">
        <v>45107.38009259259</v>
      </c>
      <c r="B317" s="2" t="s">
        <v>1086</v>
      </c>
      <c r="C317" s="2" t="str">
        <f t="shared" si="4"/>
        <v>Friday</v>
      </c>
      <c r="D317" s="26">
        <v>0.375</v>
      </c>
      <c r="E317" t="s">
        <v>672</v>
      </c>
      <c r="F317" t="s">
        <v>12</v>
      </c>
      <c r="G317">
        <v>14</v>
      </c>
      <c r="I317" t="s">
        <v>673</v>
      </c>
      <c r="J317" t="s">
        <v>11</v>
      </c>
      <c r="K317" t="b">
        <v>1</v>
      </c>
      <c r="L317">
        <v>60</v>
      </c>
      <c r="M317" t="s">
        <v>21</v>
      </c>
    </row>
    <row r="318" spans="1:13" x14ac:dyDescent="0.35">
      <c r="A318" s="2">
        <v>45107.597060185188</v>
      </c>
      <c r="B318" s="2" t="s">
        <v>1086</v>
      </c>
      <c r="C318" s="2" t="str">
        <f t="shared" si="4"/>
        <v>Friday</v>
      </c>
      <c r="D318" s="26">
        <v>0.58333333333333337</v>
      </c>
      <c r="E318" t="s">
        <v>674</v>
      </c>
      <c r="F318" t="s">
        <v>10</v>
      </c>
      <c r="G318">
        <v>33</v>
      </c>
      <c r="I318" t="s">
        <v>675</v>
      </c>
      <c r="J318" t="s">
        <v>13</v>
      </c>
      <c r="K318" t="b">
        <v>1</v>
      </c>
      <c r="L318">
        <v>21</v>
      </c>
      <c r="M318" t="s">
        <v>21</v>
      </c>
    </row>
    <row r="319" spans="1:13" x14ac:dyDescent="0.35">
      <c r="A319" s="2">
        <v>45108.378622685188</v>
      </c>
      <c r="B319" s="2" t="s">
        <v>1087</v>
      </c>
      <c r="C319" s="2" t="str">
        <f t="shared" si="4"/>
        <v>Saturday</v>
      </c>
      <c r="D319" s="26">
        <v>0.375</v>
      </c>
      <c r="E319" t="s">
        <v>676</v>
      </c>
      <c r="F319" t="s">
        <v>10</v>
      </c>
      <c r="G319">
        <v>53</v>
      </c>
      <c r="I319" t="s">
        <v>461</v>
      </c>
      <c r="J319" t="s">
        <v>13</v>
      </c>
      <c r="K319" t="b">
        <v>1</v>
      </c>
      <c r="L319">
        <v>56</v>
      </c>
      <c r="M319" t="s">
        <v>21</v>
      </c>
    </row>
    <row r="320" spans="1:13" x14ac:dyDescent="0.35">
      <c r="A320" s="2">
        <v>45108.679768518516</v>
      </c>
      <c r="B320" s="2" t="s">
        <v>1087</v>
      </c>
      <c r="C320" s="2" t="str">
        <f t="shared" si="4"/>
        <v>Saturday</v>
      </c>
      <c r="D320" s="26">
        <v>0.66666666666666663</v>
      </c>
      <c r="E320" t="s">
        <v>677</v>
      </c>
      <c r="F320" t="s">
        <v>12</v>
      </c>
      <c r="G320">
        <v>39</v>
      </c>
      <c r="H320">
        <v>5</v>
      </c>
      <c r="I320" t="s">
        <v>678</v>
      </c>
      <c r="J320" t="s">
        <v>16</v>
      </c>
      <c r="K320" t="b">
        <v>1</v>
      </c>
      <c r="L320">
        <v>16</v>
      </c>
      <c r="M320" t="s">
        <v>21</v>
      </c>
    </row>
    <row r="321" spans="1:13" x14ac:dyDescent="0.35">
      <c r="A321" s="2">
        <v>45109.032256944447</v>
      </c>
      <c r="B321" s="2" t="s">
        <v>1087</v>
      </c>
      <c r="C321" s="2" t="str">
        <f t="shared" si="4"/>
        <v>Sunday</v>
      </c>
      <c r="D321" s="26">
        <v>0</v>
      </c>
      <c r="E321" t="s">
        <v>679</v>
      </c>
      <c r="F321" t="s">
        <v>10</v>
      </c>
      <c r="G321">
        <v>75</v>
      </c>
      <c r="I321" t="s">
        <v>680</v>
      </c>
      <c r="J321" t="s">
        <v>11</v>
      </c>
      <c r="K321" t="b">
        <v>0</v>
      </c>
      <c r="L321">
        <v>17</v>
      </c>
      <c r="M321" t="s">
        <v>21</v>
      </c>
    </row>
    <row r="322" spans="1:13" x14ac:dyDescent="0.35">
      <c r="A322" s="2">
        <v>45110.61141203704</v>
      </c>
      <c r="B322" s="2" t="s">
        <v>1087</v>
      </c>
      <c r="C322" s="2" t="str">
        <f t="shared" si="4"/>
        <v>Monday</v>
      </c>
      <c r="D322" s="26">
        <v>0.58333333333333337</v>
      </c>
      <c r="E322" t="s">
        <v>681</v>
      </c>
      <c r="F322" t="s">
        <v>12</v>
      </c>
      <c r="G322">
        <v>23</v>
      </c>
      <c r="I322" t="s">
        <v>682</v>
      </c>
      <c r="J322" t="s">
        <v>17</v>
      </c>
      <c r="K322" t="b">
        <v>0</v>
      </c>
      <c r="L322">
        <v>11</v>
      </c>
      <c r="M322" t="s">
        <v>21</v>
      </c>
    </row>
    <row r="323" spans="1:13" x14ac:dyDescent="0.35">
      <c r="A323" s="2">
        <v>45112.025659722225</v>
      </c>
      <c r="B323" s="2" t="s">
        <v>1087</v>
      </c>
      <c r="C323" s="2" t="str">
        <f t="shared" ref="C323:C386" si="5">TEXT(A323,"dddd")</f>
        <v>Wednesday</v>
      </c>
      <c r="D323" s="26">
        <v>0</v>
      </c>
      <c r="E323" t="s">
        <v>683</v>
      </c>
      <c r="F323" t="s">
        <v>12</v>
      </c>
      <c r="G323">
        <v>29</v>
      </c>
      <c r="H323">
        <v>7</v>
      </c>
      <c r="I323" t="s">
        <v>409</v>
      </c>
      <c r="J323" t="s">
        <v>11</v>
      </c>
      <c r="K323" t="b">
        <v>0</v>
      </c>
      <c r="L323">
        <v>55</v>
      </c>
      <c r="M323" t="s">
        <v>21</v>
      </c>
    </row>
    <row r="324" spans="1:13" x14ac:dyDescent="0.35">
      <c r="A324" s="2">
        <v>45114.775069444448</v>
      </c>
      <c r="B324" s="2" t="s">
        <v>1087</v>
      </c>
      <c r="C324" s="2" t="str">
        <f t="shared" si="5"/>
        <v>Friday</v>
      </c>
      <c r="D324" s="26">
        <v>0.75</v>
      </c>
      <c r="E324" t="s">
        <v>684</v>
      </c>
      <c r="F324" t="s">
        <v>10</v>
      </c>
      <c r="G324">
        <v>11</v>
      </c>
      <c r="I324" t="s">
        <v>685</v>
      </c>
      <c r="J324" t="s">
        <v>16</v>
      </c>
      <c r="K324" t="b">
        <v>1</v>
      </c>
      <c r="L324">
        <v>40</v>
      </c>
      <c r="M324" t="s">
        <v>21</v>
      </c>
    </row>
    <row r="325" spans="1:13" x14ac:dyDescent="0.35">
      <c r="A325" s="2">
        <v>45115.002418981479</v>
      </c>
      <c r="B325" s="2" t="s">
        <v>1087</v>
      </c>
      <c r="C325" s="2" t="str">
        <f t="shared" si="5"/>
        <v>Saturday</v>
      </c>
      <c r="D325" s="26">
        <v>0</v>
      </c>
      <c r="E325" t="s">
        <v>686</v>
      </c>
      <c r="F325" t="s">
        <v>10</v>
      </c>
      <c r="G325">
        <v>9</v>
      </c>
      <c r="H325">
        <v>5</v>
      </c>
      <c r="I325" t="s">
        <v>687</v>
      </c>
      <c r="J325" t="s">
        <v>11</v>
      </c>
      <c r="K325" t="b">
        <v>0</v>
      </c>
      <c r="L325">
        <v>16</v>
      </c>
      <c r="M325" t="s">
        <v>21</v>
      </c>
    </row>
    <row r="326" spans="1:13" x14ac:dyDescent="0.35">
      <c r="A326" s="2">
        <v>45116.812685185185</v>
      </c>
      <c r="B326" s="2" t="s">
        <v>1087</v>
      </c>
      <c r="C326" s="2" t="str">
        <f t="shared" si="5"/>
        <v>Sunday</v>
      </c>
      <c r="D326" s="26">
        <v>0.79166666666666663</v>
      </c>
      <c r="E326" t="s">
        <v>688</v>
      </c>
      <c r="F326" t="s">
        <v>12</v>
      </c>
      <c r="G326">
        <v>49</v>
      </c>
      <c r="I326" t="s">
        <v>689</v>
      </c>
      <c r="J326" t="s">
        <v>13</v>
      </c>
      <c r="K326" t="b">
        <v>1</v>
      </c>
      <c r="L326">
        <v>11</v>
      </c>
      <c r="M326" t="s">
        <v>21</v>
      </c>
    </row>
    <row r="327" spans="1:13" x14ac:dyDescent="0.35">
      <c r="A327" s="2">
        <v>45116.965266203704</v>
      </c>
      <c r="B327" s="2" t="s">
        <v>1087</v>
      </c>
      <c r="C327" s="2" t="str">
        <f t="shared" si="5"/>
        <v>Sunday</v>
      </c>
      <c r="D327" s="26">
        <v>0.95833333333333337</v>
      </c>
      <c r="E327" t="s">
        <v>690</v>
      </c>
      <c r="F327" t="s">
        <v>10</v>
      </c>
      <c r="G327">
        <v>17</v>
      </c>
      <c r="I327" t="s">
        <v>530</v>
      </c>
      <c r="J327" t="s">
        <v>16</v>
      </c>
      <c r="K327" t="b">
        <v>1</v>
      </c>
      <c r="L327">
        <v>17</v>
      </c>
      <c r="M327" t="s">
        <v>21</v>
      </c>
    </row>
    <row r="328" spans="1:13" x14ac:dyDescent="0.35">
      <c r="A328" s="2">
        <v>45117.100578703707</v>
      </c>
      <c r="B328" s="2" t="s">
        <v>1087</v>
      </c>
      <c r="C328" s="2" t="str">
        <f t="shared" si="5"/>
        <v>Monday</v>
      </c>
      <c r="D328" s="26">
        <v>8.3333333333333329E-2</v>
      </c>
      <c r="E328" t="s">
        <v>691</v>
      </c>
      <c r="F328" t="s">
        <v>12</v>
      </c>
      <c r="G328">
        <v>13</v>
      </c>
      <c r="I328" t="s">
        <v>692</v>
      </c>
      <c r="J328" t="s">
        <v>17</v>
      </c>
      <c r="K328" t="b">
        <v>0</v>
      </c>
      <c r="L328">
        <v>30</v>
      </c>
      <c r="M328" t="s">
        <v>21</v>
      </c>
    </row>
    <row r="329" spans="1:13" x14ac:dyDescent="0.35">
      <c r="A329" s="2">
        <v>45117.522789351853</v>
      </c>
      <c r="B329" s="2" t="s">
        <v>1087</v>
      </c>
      <c r="C329" s="2" t="str">
        <f t="shared" si="5"/>
        <v>Monday</v>
      </c>
      <c r="D329" s="26">
        <v>0.5</v>
      </c>
      <c r="E329" t="s">
        <v>693</v>
      </c>
      <c r="F329" t="s">
        <v>12</v>
      </c>
      <c r="G329">
        <v>44</v>
      </c>
      <c r="H329">
        <v>9</v>
      </c>
      <c r="I329" t="s">
        <v>317</v>
      </c>
      <c r="J329" t="s">
        <v>18</v>
      </c>
      <c r="K329" t="b">
        <v>1</v>
      </c>
      <c r="L329">
        <v>15</v>
      </c>
      <c r="M329" t="s">
        <v>21</v>
      </c>
    </row>
    <row r="330" spans="1:13" x14ac:dyDescent="0.35">
      <c r="A330" s="2">
        <v>45117.565532407411</v>
      </c>
      <c r="B330" s="2" t="s">
        <v>1087</v>
      </c>
      <c r="C330" s="2" t="str">
        <f t="shared" si="5"/>
        <v>Monday</v>
      </c>
      <c r="D330" s="26">
        <v>0.54166666666666663</v>
      </c>
      <c r="E330" t="s">
        <v>694</v>
      </c>
      <c r="F330" t="s">
        <v>10</v>
      </c>
      <c r="G330">
        <v>34</v>
      </c>
      <c r="I330" t="s">
        <v>695</v>
      </c>
      <c r="J330" t="s">
        <v>11</v>
      </c>
      <c r="K330" t="b">
        <v>0</v>
      </c>
      <c r="L330">
        <v>58</v>
      </c>
      <c r="M330" t="s">
        <v>21</v>
      </c>
    </row>
    <row r="331" spans="1:13" x14ac:dyDescent="0.35">
      <c r="A331" s="2">
        <v>45119.399398148147</v>
      </c>
      <c r="B331" s="2" t="s">
        <v>1087</v>
      </c>
      <c r="C331" s="2" t="str">
        <f t="shared" si="5"/>
        <v>Wednesday</v>
      </c>
      <c r="D331" s="26">
        <v>0.375</v>
      </c>
      <c r="E331" t="s">
        <v>696</v>
      </c>
      <c r="F331" t="s">
        <v>10</v>
      </c>
      <c r="G331">
        <v>31</v>
      </c>
      <c r="I331" t="s">
        <v>175</v>
      </c>
      <c r="J331" t="s">
        <v>13</v>
      </c>
      <c r="K331" t="b">
        <v>1</v>
      </c>
      <c r="L331">
        <v>58</v>
      </c>
      <c r="M331" t="s">
        <v>21</v>
      </c>
    </row>
    <row r="332" spans="1:13" x14ac:dyDescent="0.35">
      <c r="A332" s="2">
        <v>45119.550381944442</v>
      </c>
      <c r="B332" s="2" t="s">
        <v>1087</v>
      </c>
      <c r="C332" s="2" t="str">
        <f t="shared" si="5"/>
        <v>Wednesday</v>
      </c>
      <c r="D332" s="26">
        <v>0.54166666666666663</v>
      </c>
      <c r="E332" t="s">
        <v>697</v>
      </c>
      <c r="F332" t="s">
        <v>10</v>
      </c>
      <c r="G332">
        <v>39</v>
      </c>
      <c r="I332" t="s">
        <v>698</v>
      </c>
      <c r="J332" t="s">
        <v>16</v>
      </c>
      <c r="K332" t="b">
        <v>0</v>
      </c>
      <c r="L332">
        <v>52</v>
      </c>
      <c r="M332" t="s">
        <v>21</v>
      </c>
    </row>
    <row r="333" spans="1:13" x14ac:dyDescent="0.35">
      <c r="A333" s="2">
        <v>45119.804594907408</v>
      </c>
      <c r="B333" s="2" t="s">
        <v>1087</v>
      </c>
      <c r="C333" s="2" t="str">
        <f t="shared" si="5"/>
        <v>Wednesday</v>
      </c>
      <c r="D333" s="26">
        <v>0.79166666666666663</v>
      </c>
      <c r="E333" t="s">
        <v>699</v>
      </c>
      <c r="F333" t="s">
        <v>10</v>
      </c>
      <c r="G333">
        <v>53</v>
      </c>
      <c r="H333">
        <v>8</v>
      </c>
      <c r="I333" t="s">
        <v>700</v>
      </c>
      <c r="J333" t="s">
        <v>17</v>
      </c>
      <c r="K333" t="b">
        <v>1</v>
      </c>
      <c r="L333">
        <v>51</v>
      </c>
      <c r="M333" t="s">
        <v>21</v>
      </c>
    </row>
    <row r="334" spans="1:13" x14ac:dyDescent="0.35">
      <c r="A334" s="2">
        <v>45120.11178240741</v>
      </c>
      <c r="B334" s="2" t="s">
        <v>1087</v>
      </c>
      <c r="C334" s="2" t="str">
        <f t="shared" si="5"/>
        <v>Thursday</v>
      </c>
      <c r="D334" s="26">
        <v>8.3333333333333329E-2</v>
      </c>
      <c r="E334" t="s">
        <v>701</v>
      </c>
      <c r="F334" t="s">
        <v>10</v>
      </c>
      <c r="G334">
        <v>59</v>
      </c>
      <c r="I334" t="s">
        <v>702</v>
      </c>
      <c r="J334" t="s">
        <v>11</v>
      </c>
      <c r="K334" t="b">
        <v>1</v>
      </c>
      <c r="L334">
        <v>36</v>
      </c>
      <c r="M334" t="s">
        <v>21</v>
      </c>
    </row>
    <row r="335" spans="1:13" x14ac:dyDescent="0.35">
      <c r="A335" s="2">
        <v>45120.258981481478</v>
      </c>
      <c r="B335" s="2" t="s">
        <v>1087</v>
      </c>
      <c r="C335" s="2" t="str">
        <f t="shared" si="5"/>
        <v>Thursday</v>
      </c>
      <c r="D335" s="26">
        <v>0.25</v>
      </c>
      <c r="E335" t="s">
        <v>703</v>
      </c>
      <c r="F335" t="s">
        <v>10</v>
      </c>
      <c r="G335">
        <v>64</v>
      </c>
      <c r="I335" t="s">
        <v>704</v>
      </c>
      <c r="J335" t="s">
        <v>16</v>
      </c>
      <c r="K335" t="b">
        <v>0</v>
      </c>
      <c r="L335">
        <v>29</v>
      </c>
      <c r="M335" t="s">
        <v>21</v>
      </c>
    </row>
    <row r="336" spans="1:13" x14ac:dyDescent="0.35">
      <c r="A336" s="2">
        <v>45120.409074074072</v>
      </c>
      <c r="B336" s="2" t="s">
        <v>1087</v>
      </c>
      <c r="C336" s="2" t="str">
        <f t="shared" si="5"/>
        <v>Thursday</v>
      </c>
      <c r="D336" s="26">
        <v>0.375</v>
      </c>
      <c r="E336" t="s">
        <v>705</v>
      </c>
      <c r="F336" t="s">
        <v>10</v>
      </c>
      <c r="G336">
        <v>32</v>
      </c>
      <c r="H336">
        <v>4</v>
      </c>
      <c r="I336" t="s">
        <v>706</v>
      </c>
      <c r="J336" t="s">
        <v>13</v>
      </c>
      <c r="K336" t="b">
        <v>0</v>
      </c>
      <c r="L336">
        <v>51</v>
      </c>
      <c r="M336" t="s">
        <v>21</v>
      </c>
    </row>
    <row r="337" spans="1:13" x14ac:dyDescent="0.35">
      <c r="A337" s="2">
        <v>45120.646203703705</v>
      </c>
      <c r="B337" s="2" t="s">
        <v>1087</v>
      </c>
      <c r="C337" s="2" t="str">
        <f t="shared" si="5"/>
        <v>Thursday</v>
      </c>
      <c r="D337" s="26">
        <v>0.625</v>
      </c>
      <c r="E337" t="s">
        <v>707</v>
      </c>
      <c r="F337" t="s">
        <v>12</v>
      </c>
      <c r="G337">
        <v>11</v>
      </c>
      <c r="I337" t="s">
        <v>708</v>
      </c>
      <c r="J337" t="s">
        <v>13</v>
      </c>
      <c r="K337" t="b">
        <v>0</v>
      </c>
      <c r="L337">
        <v>55</v>
      </c>
      <c r="M337" t="s">
        <v>21</v>
      </c>
    </row>
    <row r="338" spans="1:13" x14ac:dyDescent="0.35">
      <c r="A338" s="2">
        <v>45120.825532407405</v>
      </c>
      <c r="B338" s="2" t="s">
        <v>1087</v>
      </c>
      <c r="C338" s="2" t="str">
        <f t="shared" si="5"/>
        <v>Thursday</v>
      </c>
      <c r="D338" s="26">
        <v>0.79166666666666663</v>
      </c>
      <c r="E338" t="s">
        <v>709</v>
      </c>
      <c r="F338" t="s">
        <v>12</v>
      </c>
      <c r="G338">
        <v>1</v>
      </c>
      <c r="I338" t="s">
        <v>710</v>
      </c>
      <c r="J338" t="s">
        <v>11</v>
      </c>
      <c r="K338" t="b">
        <v>1</v>
      </c>
      <c r="L338">
        <v>40</v>
      </c>
      <c r="M338" t="s">
        <v>21</v>
      </c>
    </row>
    <row r="339" spans="1:13" x14ac:dyDescent="0.35">
      <c r="A339" s="2">
        <v>45122.010150462964</v>
      </c>
      <c r="B339" s="2" t="s">
        <v>1087</v>
      </c>
      <c r="C339" s="2" t="str">
        <f t="shared" si="5"/>
        <v>Saturday</v>
      </c>
      <c r="D339" s="26">
        <v>0</v>
      </c>
      <c r="E339" t="s">
        <v>711</v>
      </c>
      <c r="F339" t="s">
        <v>10</v>
      </c>
      <c r="G339">
        <v>12</v>
      </c>
      <c r="I339" t="s">
        <v>712</v>
      </c>
      <c r="J339" t="s">
        <v>14</v>
      </c>
      <c r="K339" t="b">
        <v>1</v>
      </c>
      <c r="L339">
        <v>38</v>
      </c>
      <c r="M339" t="s">
        <v>21</v>
      </c>
    </row>
    <row r="340" spans="1:13" x14ac:dyDescent="0.35">
      <c r="A340" s="2">
        <v>45122.701192129629</v>
      </c>
      <c r="B340" s="2" t="s">
        <v>1087</v>
      </c>
      <c r="C340" s="2" t="str">
        <f t="shared" si="5"/>
        <v>Saturday</v>
      </c>
      <c r="D340" s="26">
        <v>0.66666666666666663</v>
      </c>
      <c r="E340" t="s">
        <v>713</v>
      </c>
      <c r="F340" t="s">
        <v>12</v>
      </c>
      <c r="G340">
        <v>6</v>
      </c>
      <c r="I340" t="s">
        <v>714</v>
      </c>
      <c r="J340" t="s">
        <v>11</v>
      </c>
      <c r="K340" t="b">
        <v>0</v>
      </c>
      <c r="L340">
        <v>44</v>
      </c>
      <c r="M340" t="s">
        <v>21</v>
      </c>
    </row>
    <row r="341" spans="1:13" x14ac:dyDescent="0.35">
      <c r="A341" s="2">
        <v>45122.879942129628</v>
      </c>
      <c r="B341" s="2" t="s">
        <v>1087</v>
      </c>
      <c r="C341" s="2" t="str">
        <f t="shared" si="5"/>
        <v>Saturday</v>
      </c>
      <c r="D341" s="26">
        <v>0.875</v>
      </c>
      <c r="E341" t="s">
        <v>715</v>
      </c>
      <c r="F341" t="s">
        <v>12</v>
      </c>
      <c r="G341">
        <v>11</v>
      </c>
      <c r="I341" t="s">
        <v>716</v>
      </c>
      <c r="J341" t="s">
        <v>11</v>
      </c>
      <c r="K341" t="b">
        <v>1</v>
      </c>
      <c r="L341">
        <v>11</v>
      </c>
      <c r="M341" t="s">
        <v>21</v>
      </c>
    </row>
    <row r="342" spans="1:13" x14ac:dyDescent="0.35">
      <c r="A342" s="2">
        <v>45123.093969907408</v>
      </c>
      <c r="B342" s="2" t="s">
        <v>1087</v>
      </c>
      <c r="C342" s="2" t="str">
        <f t="shared" si="5"/>
        <v>Sunday</v>
      </c>
      <c r="D342" s="26">
        <v>8.3333333333333329E-2</v>
      </c>
      <c r="E342" t="s">
        <v>717</v>
      </c>
      <c r="F342" t="s">
        <v>12</v>
      </c>
      <c r="G342">
        <v>78</v>
      </c>
      <c r="I342" t="s">
        <v>718</v>
      </c>
      <c r="J342" t="s">
        <v>14</v>
      </c>
      <c r="K342" t="b">
        <v>0</v>
      </c>
      <c r="L342">
        <v>51</v>
      </c>
      <c r="M342" t="s">
        <v>21</v>
      </c>
    </row>
    <row r="343" spans="1:13" x14ac:dyDescent="0.35">
      <c r="A343" s="2">
        <v>45123.133587962962</v>
      </c>
      <c r="B343" s="2" t="s">
        <v>1087</v>
      </c>
      <c r="C343" s="2" t="str">
        <f t="shared" si="5"/>
        <v>Sunday</v>
      </c>
      <c r="D343" s="26">
        <v>0.125</v>
      </c>
      <c r="E343" t="s">
        <v>719</v>
      </c>
      <c r="F343" t="s">
        <v>12</v>
      </c>
      <c r="G343">
        <v>7</v>
      </c>
      <c r="H343">
        <v>3</v>
      </c>
      <c r="I343" t="s">
        <v>720</v>
      </c>
      <c r="J343" t="s">
        <v>13</v>
      </c>
      <c r="K343" t="b">
        <v>1</v>
      </c>
      <c r="L343">
        <v>24</v>
      </c>
      <c r="M343" t="s">
        <v>21</v>
      </c>
    </row>
    <row r="344" spans="1:13" x14ac:dyDescent="0.35">
      <c r="A344" s="2">
        <v>45123.222268518519</v>
      </c>
      <c r="B344" s="2" t="s">
        <v>1087</v>
      </c>
      <c r="C344" s="2" t="str">
        <f t="shared" si="5"/>
        <v>Sunday</v>
      </c>
      <c r="D344" s="26">
        <v>0.20833333333333334</v>
      </c>
      <c r="E344" t="s">
        <v>721</v>
      </c>
      <c r="F344" t="s">
        <v>10</v>
      </c>
      <c r="G344">
        <v>74</v>
      </c>
      <c r="I344" t="s">
        <v>722</v>
      </c>
      <c r="J344" t="s">
        <v>15</v>
      </c>
      <c r="K344" t="b">
        <v>1</v>
      </c>
      <c r="L344">
        <v>56</v>
      </c>
      <c r="M344" t="s">
        <v>21</v>
      </c>
    </row>
    <row r="345" spans="1:13" x14ac:dyDescent="0.35">
      <c r="A345" s="2">
        <v>45123.562465277777</v>
      </c>
      <c r="B345" s="2" t="s">
        <v>1087</v>
      </c>
      <c r="C345" s="2" t="str">
        <f t="shared" si="5"/>
        <v>Sunday</v>
      </c>
      <c r="D345" s="26">
        <v>0.54166666666666663</v>
      </c>
      <c r="E345" t="s">
        <v>723</v>
      </c>
      <c r="F345" t="s">
        <v>12</v>
      </c>
      <c r="G345">
        <v>68</v>
      </c>
      <c r="I345" t="s">
        <v>724</v>
      </c>
      <c r="J345" t="s">
        <v>15</v>
      </c>
      <c r="K345" t="b">
        <v>1</v>
      </c>
      <c r="L345">
        <v>15</v>
      </c>
      <c r="M345" t="s">
        <v>21</v>
      </c>
    </row>
    <row r="346" spans="1:13" x14ac:dyDescent="0.35">
      <c r="A346" s="2">
        <v>45124.580613425926</v>
      </c>
      <c r="B346" s="2" t="s">
        <v>1087</v>
      </c>
      <c r="C346" s="2" t="str">
        <f t="shared" si="5"/>
        <v>Monday</v>
      </c>
      <c r="D346" s="26">
        <v>0.54166666666666663</v>
      </c>
      <c r="E346" t="s">
        <v>725</v>
      </c>
      <c r="F346" t="s">
        <v>12</v>
      </c>
      <c r="G346">
        <v>65</v>
      </c>
      <c r="H346">
        <v>2</v>
      </c>
      <c r="I346" t="s">
        <v>726</v>
      </c>
      <c r="J346" t="s">
        <v>18</v>
      </c>
      <c r="K346" t="b">
        <v>0</v>
      </c>
      <c r="L346">
        <v>34</v>
      </c>
      <c r="M346" t="s">
        <v>21</v>
      </c>
    </row>
    <row r="347" spans="1:13" x14ac:dyDescent="0.35">
      <c r="A347" s="2">
        <v>45124.953460648147</v>
      </c>
      <c r="B347" s="2" t="s">
        <v>1087</v>
      </c>
      <c r="C347" s="2" t="str">
        <f t="shared" si="5"/>
        <v>Monday</v>
      </c>
      <c r="D347" s="26">
        <v>0.91666666666666663</v>
      </c>
      <c r="E347" t="s">
        <v>727</v>
      </c>
      <c r="F347" t="s">
        <v>12</v>
      </c>
      <c r="G347">
        <v>44</v>
      </c>
      <c r="I347" t="s">
        <v>728</v>
      </c>
      <c r="J347" t="s">
        <v>18</v>
      </c>
      <c r="K347" t="b">
        <v>0</v>
      </c>
      <c r="L347">
        <v>47</v>
      </c>
      <c r="M347" t="s">
        <v>21</v>
      </c>
    </row>
    <row r="348" spans="1:13" x14ac:dyDescent="0.35">
      <c r="A348" s="2">
        <v>45125.299745370372</v>
      </c>
      <c r="B348" s="2" t="s">
        <v>1087</v>
      </c>
      <c r="C348" s="2" t="str">
        <f t="shared" si="5"/>
        <v>Tuesday</v>
      </c>
      <c r="D348" s="26">
        <v>0.29166666666666669</v>
      </c>
      <c r="E348" t="s">
        <v>729</v>
      </c>
      <c r="F348" t="s">
        <v>10</v>
      </c>
      <c r="G348">
        <v>9</v>
      </c>
      <c r="H348">
        <v>3</v>
      </c>
      <c r="I348" t="s">
        <v>730</v>
      </c>
      <c r="J348" t="s">
        <v>13</v>
      </c>
      <c r="K348" t="b">
        <v>0</v>
      </c>
      <c r="L348">
        <v>58</v>
      </c>
      <c r="M348" t="s">
        <v>21</v>
      </c>
    </row>
    <row r="349" spans="1:13" x14ac:dyDescent="0.35">
      <c r="A349" s="2">
        <v>45126.181666666664</v>
      </c>
      <c r="B349" s="2" t="s">
        <v>1087</v>
      </c>
      <c r="C349" s="2" t="str">
        <f t="shared" si="5"/>
        <v>Wednesday</v>
      </c>
      <c r="D349" s="26">
        <v>0.16666666666666666</v>
      </c>
      <c r="E349" t="s">
        <v>731</v>
      </c>
      <c r="F349" t="s">
        <v>12</v>
      </c>
      <c r="G349">
        <v>57</v>
      </c>
      <c r="I349" t="s">
        <v>732</v>
      </c>
      <c r="J349" t="s">
        <v>11</v>
      </c>
      <c r="K349" t="b">
        <v>1</v>
      </c>
      <c r="L349">
        <v>30</v>
      </c>
      <c r="M349" t="s">
        <v>21</v>
      </c>
    </row>
    <row r="350" spans="1:13" x14ac:dyDescent="0.35">
      <c r="A350" s="2">
        <v>45126.268784722219</v>
      </c>
      <c r="B350" s="2" t="s">
        <v>1087</v>
      </c>
      <c r="C350" s="2" t="str">
        <f t="shared" si="5"/>
        <v>Wednesday</v>
      </c>
      <c r="D350" s="26">
        <v>0.25</v>
      </c>
      <c r="E350" t="s">
        <v>733</v>
      </c>
      <c r="F350" t="s">
        <v>12</v>
      </c>
      <c r="G350">
        <v>4</v>
      </c>
      <c r="I350" t="s">
        <v>734</v>
      </c>
      <c r="J350" t="s">
        <v>11</v>
      </c>
      <c r="K350" t="b">
        <v>0</v>
      </c>
      <c r="L350">
        <v>58</v>
      </c>
      <c r="M350" t="s">
        <v>21</v>
      </c>
    </row>
    <row r="351" spans="1:13" x14ac:dyDescent="0.35">
      <c r="A351" s="2">
        <v>45126.373993055553</v>
      </c>
      <c r="B351" s="2" t="s">
        <v>1087</v>
      </c>
      <c r="C351" s="2" t="str">
        <f t="shared" si="5"/>
        <v>Wednesday</v>
      </c>
      <c r="D351" s="26">
        <v>0.33333333333333331</v>
      </c>
      <c r="E351" t="s">
        <v>735</v>
      </c>
      <c r="F351" t="s">
        <v>10</v>
      </c>
      <c r="G351">
        <v>60</v>
      </c>
      <c r="I351" t="s">
        <v>736</v>
      </c>
      <c r="J351" t="s">
        <v>13</v>
      </c>
      <c r="K351" t="b">
        <v>1</v>
      </c>
      <c r="L351">
        <v>47</v>
      </c>
      <c r="M351" t="s">
        <v>21</v>
      </c>
    </row>
    <row r="352" spans="1:13" x14ac:dyDescent="0.35">
      <c r="A352" s="2">
        <v>45126.582303240742</v>
      </c>
      <c r="B352" s="2" t="s">
        <v>1087</v>
      </c>
      <c r="C352" s="2" t="str">
        <f t="shared" si="5"/>
        <v>Wednesday</v>
      </c>
      <c r="D352" s="26">
        <v>0.54166666666666663</v>
      </c>
      <c r="E352" t="s">
        <v>737</v>
      </c>
      <c r="F352" t="s">
        <v>10</v>
      </c>
      <c r="G352">
        <v>19</v>
      </c>
      <c r="I352" t="s">
        <v>738</v>
      </c>
      <c r="J352" t="s">
        <v>11</v>
      </c>
      <c r="K352" t="b">
        <v>1</v>
      </c>
      <c r="L352">
        <v>34</v>
      </c>
      <c r="M352" t="s">
        <v>21</v>
      </c>
    </row>
    <row r="353" spans="1:13" x14ac:dyDescent="0.35">
      <c r="A353" s="2">
        <v>45127.000127314815</v>
      </c>
      <c r="B353" s="2" t="s">
        <v>1087</v>
      </c>
      <c r="C353" s="2" t="str">
        <f t="shared" si="5"/>
        <v>Thursday</v>
      </c>
      <c r="D353" s="26">
        <v>0</v>
      </c>
      <c r="E353" t="s">
        <v>739</v>
      </c>
      <c r="F353" t="s">
        <v>12</v>
      </c>
      <c r="G353">
        <v>22</v>
      </c>
      <c r="H353">
        <v>1</v>
      </c>
      <c r="I353" t="s">
        <v>740</v>
      </c>
      <c r="J353" t="s">
        <v>13</v>
      </c>
      <c r="K353" t="b">
        <v>1</v>
      </c>
      <c r="L353">
        <v>15</v>
      </c>
      <c r="M353" t="s">
        <v>21</v>
      </c>
    </row>
    <row r="354" spans="1:13" x14ac:dyDescent="0.35">
      <c r="A354" s="2">
        <v>45127.243067129632</v>
      </c>
      <c r="B354" s="2" t="s">
        <v>1087</v>
      </c>
      <c r="C354" s="2" t="str">
        <f t="shared" si="5"/>
        <v>Thursday</v>
      </c>
      <c r="D354" s="26">
        <v>0.20833333333333334</v>
      </c>
      <c r="E354" t="s">
        <v>741</v>
      </c>
      <c r="F354" t="s">
        <v>10</v>
      </c>
      <c r="G354">
        <v>50</v>
      </c>
      <c r="H354">
        <v>5</v>
      </c>
      <c r="I354" t="s">
        <v>742</v>
      </c>
      <c r="J354" t="s">
        <v>11</v>
      </c>
      <c r="K354" t="b">
        <v>0</v>
      </c>
      <c r="L354">
        <v>49</v>
      </c>
      <c r="M354" t="s">
        <v>21</v>
      </c>
    </row>
    <row r="355" spans="1:13" x14ac:dyDescent="0.35">
      <c r="A355" s="2">
        <v>45127.565520833334</v>
      </c>
      <c r="B355" s="2" t="s">
        <v>1087</v>
      </c>
      <c r="C355" s="2" t="str">
        <f t="shared" si="5"/>
        <v>Thursday</v>
      </c>
      <c r="D355" s="26">
        <v>0.54166666666666663</v>
      </c>
      <c r="E355" t="s">
        <v>743</v>
      </c>
      <c r="F355" t="s">
        <v>12</v>
      </c>
      <c r="G355">
        <v>3</v>
      </c>
      <c r="I355" t="s">
        <v>744</v>
      </c>
      <c r="J355" t="s">
        <v>15</v>
      </c>
      <c r="K355" t="b">
        <v>0</v>
      </c>
      <c r="L355">
        <v>30</v>
      </c>
      <c r="M355" t="s">
        <v>21</v>
      </c>
    </row>
    <row r="356" spans="1:13" x14ac:dyDescent="0.35">
      <c r="A356" s="2">
        <v>45127.802187499998</v>
      </c>
      <c r="B356" s="2" t="s">
        <v>1087</v>
      </c>
      <c r="C356" s="2" t="str">
        <f t="shared" si="5"/>
        <v>Thursday</v>
      </c>
      <c r="D356" s="26">
        <v>0.79166666666666663</v>
      </c>
      <c r="E356" t="s">
        <v>745</v>
      </c>
      <c r="F356" t="s">
        <v>12</v>
      </c>
      <c r="G356">
        <v>51</v>
      </c>
      <c r="I356" t="s">
        <v>746</v>
      </c>
      <c r="J356" t="s">
        <v>13</v>
      </c>
      <c r="K356" t="b">
        <v>1</v>
      </c>
      <c r="L356">
        <v>26</v>
      </c>
      <c r="M356" t="s">
        <v>21</v>
      </c>
    </row>
    <row r="357" spans="1:13" x14ac:dyDescent="0.35">
      <c r="A357" s="2">
        <v>45128.036180555559</v>
      </c>
      <c r="B357" s="2" t="s">
        <v>1087</v>
      </c>
      <c r="C357" s="2" t="str">
        <f t="shared" si="5"/>
        <v>Friday</v>
      </c>
      <c r="D357" s="26">
        <v>0</v>
      </c>
      <c r="E357" t="s">
        <v>747</v>
      </c>
      <c r="F357" t="s">
        <v>12</v>
      </c>
      <c r="G357">
        <v>28</v>
      </c>
      <c r="I357" t="s">
        <v>748</v>
      </c>
      <c r="J357" t="s">
        <v>13</v>
      </c>
      <c r="K357" t="b">
        <v>0</v>
      </c>
      <c r="L357">
        <v>10</v>
      </c>
      <c r="M357" t="s">
        <v>21</v>
      </c>
    </row>
    <row r="358" spans="1:13" x14ac:dyDescent="0.35">
      <c r="A358" s="2">
        <v>45128.062974537039</v>
      </c>
      <c r="B358" s="2" t="s">
        <v>1087</v>
      </c>
      <c r="C358" s="2" t="str">
        <f t="shared" si="5"/>
        <v>Friday</v>
      </c>
      <c r="D358" s="26">
        <v>4.1666666666666664E-2</v>
      </c>
      <c r="E358" t="s">
        <v>749</v>
      </c>
      <c r="F358" t="s">
        <v>12</v>
      </c>
      <c r="G358">
        <v>67</v>
      </c>
      <c r="I358" t="s">
        <v>750</v>
      </c>
      <c r="J358" t="s">
        <v>13</v>
      </c>
      <c r="K358" t="b">
        <v>1</v>
      </c>
      <c r="L358">
        <v>34</v>
      </c>
      <c r="M358" t="s">
        <v>21</v>
      </c>
    </row>
    <row r="359" spans="1:13" x14ac:dyDescent="0.35">
      <c r="A359" s="2">
        <v>45128.256249999999</v>
      </c>
      <c r="B359" s="2" t="s">
        <v>1087</v>
      </c>
      <c r="C359" s="2" t="str">
        <f t="shared" si="5"/>
        <v>Friday</v>
      </c>
      <c r="D359" s="26">
        <v>0.25</v>
      </c>
      <c r="E359" t="s">
        <v>752</v>
      </c>
      <c r="F359" t="s">
        <v>10</v>
      </c>
      <c r="G359">
        <v>51</v>
      </c>
      <c r="I359" t="s">
        <v>753</v>
      </c>
      <c r="J359" t="s">
        <v>13</v>
      </c>
      <c r="K359" t="b">
        <v>1</v>
      </c>
      <c r="L359">
        <v>27</v>
      </c>
      <c r="M359" t="s">
        <v>21</v>
      </c>
    </row>
    <row r="360" spans="1:13" x14ac:dyDescent="0.35">
      <c r="A360" s="2">
        <v>45128.535439814812</v>
      </c>
      <c r="B360" s="2" t="s">
        <v>1087</v>
      </c>
      <c r="C360" s="2" t="str">
        <f t="shared" si="5"/>
        <v>Friday</v>
      </c>
      <c r="D360" s="26">
        <v>0.5</v>
      </c>
      <c r="E360" t="s">
        <v>754</v>
      </c>
      <c r="F360" t="s">
        <v>12</v>
      </c>
      <c r="G360">
        <v>16</v>
      </c>
      <c r="I360" t="s">
        <v>755</v>
      </c>
      <c r="J360" t="s">
        <v>13</v>
      </c>
      <c r="K360" t="b">
        <v>0</v>
      </c>
      <c r="L360">
        <v>36</v>
      </c>
      <c r="M360" t="s">
        <v>21</v>
      </c>
    </row>
    <row r="361" spans="1:13" x14ac:dyDescent="0.35">
      <c r="A361" s="2">
        <v>45128.589895833335</v>
      </c>
      <c r="B361" s="2" t="s">
        <v>1087</v>
      </c>
      <c r="C361" s="2" t="str">
        <f t="shared" si="5"/>
        <v>Friday</v>
      </c>
      <c r="D361" s="26">
        <v>0.58333333333333337</v>
      </c>
      <c r="E361" t="s">
        <v>756</v>
      </c>
      <c r="F361" t="s">
        <v>10</v>
      </c>
      <c r="G361">
        <v>48</v>
      </c>
      <c r="H361">
        <v>6</v>
      </c>
      <c r="I361" t="s">
        <v>757</v>
      </c>
      <c r="J361" t="s">
        <v>13</v>
      </c>
      <c r="K361" t="b">
        <v>0</v>
      </c>
      <c r="L361">
        <v>44</v>
      </c>
      <c r="M361" t="s">
        <v>21</v>
      </c>
    </row>
    <row r="362" spans="1:13" x14ac:dyDescent="0.35">
      <c r="A362" s="2">
        <v>45131.767534722225</v>
      </c>
      <c r="B362" s="2" t="s">
        <v>1087</v>
      </c>
      <c r="C362" s="2" t="str">
        <f t="shared" si="5"/>
        <v>Monday</v>
      </c>
      <c r="D362" s="26">
        <v>0.75</v>
      </c>
      <c r="E362" t="s">
        <v>758</v>
      </c>
      <c r="F362" t="s">
        <v>12</v>
      </c>
      <c r="G362">
        <v>73</v>
      </c>
      <c r="H362">
        <v>5</v>
      </c>
      <c r="I362" t="s">
        <v>759</v>
      </c>
      <c r="J362" t="s">
        <v>13</v>
      </c>
      <c r="K362" t="b">
        <v>1</v>
      </c>
      <c r="L362">
        <v>19</v>
      </c>
      <c r="M362" t="s">
        <v>21</v>
      </c>
    </row>
    <row r="363" spans="1:13" x14ac:dyDescent="0.35">
      <c r="A363" s="2">
        <v>45131.842557870368</v>
      </c>
      <c r="B363" s="2" t="s">
        <v>1087</v>
      </c>
      <c r="C363" s="2" t="str">
        <f t="shared" si="5"/>
        <v>Monday</v>
      </c>
      <c r="D363" s="26">
        <v>0.83333333333333337</v>
      </c>
      <c r="E363" t="s">
        <v>760</v>
      </c>
      <c r="F363" t="s">
        <v>10</v>
      </c>
      <c r="G363">
        <v>53</v>
      </c>
      <c r="I363" t="s">
        <v>761</v>
      </c>
      <c r="J363" t="s">
        <v>11</v>
      </c>
      <c r="K363" t="b">
        <v>0</v>
      </c>
      <c r="L363">
        <v>20</v>
      </c>
      <c r="M363" t="s">
        <v>21</v>
      </c>
    </row>
    <row r="364" spans="1:13" x14ac:dyDescent="0.35">
      <c r="A364" s="2">
        <v>45132.243009259262</v>
      </c>
      <c r="B364" s="2" t="s">
        <v>1087</v>
      </c>
      <c r="C364" s="2" t="str">
        <f t="shared" si="5"/>
        <v>Tuesday</v>
      </c>
      <c r="D364" s="26">
        <v>0.20833333333333334</v>
      </c>
      <c r="E364" t="s">
        <v>762</v>
      </c>
      <c r="F364" t="s">
        <v>10</v>
      </c>
      <c r="G364">
        <v>25</v>
      </c>
      <c r="I364" t="s">
        <v>763</v>
      </c>
      <c r="J364" t="s">
        <v>15</v>
      </c>
      <c r="K364" t="b">
        <v>0</v>
      </c>
      <c r="L364">
        <v>49</v>
      </c>
      <c r="M364" t="s">
        <v>21</v>
      </c>
    </row>
    <row r="365" spans="1:13" x14ac:dyDescent="0.35">
      <c r="A365" s="2">
        <v>45132.374236111114</v>
      </c>
      <c r="B365" s="2" t="s">
        <v>1087</v>
      </c>
      <c r="C365" s="2" t="str">
        <f t="shared" si="5"/>
        <v>Tuesday</v>
      </c>
      <c r="D365" s="26">
        <v>0.33333333333333331</v>
      </c>
      <c r="E365" t="s">
        <v>764</v>
      </c>
      <c r="F365" t="s">
        <v>10</v>
      </c>
      <c r="G365">
        <v>74</v>
      </c>
      <c r="I365" t="s">
        <v>765</v>
      </c>
      <c r="J365" t="s">
        <v>11</v>
      </c>
      <c r="K365" t="b">
        <v>0</v>
      </c>
      <c r="L365">
        <v>28</v>
      </c>
      <c r="M365" t="s">
        <v>21</v>
      </c>
    </row>
    <row r="366" spans="1:13" x14ac:dyDescent="0.35">
      <c r="A366" s="2">
        <v>45132.45753472222</v>
      </c>
      <c r="B366" s="2" t="s">
        <v>1087</v>
      </c>
      <c r="C366" s="2" t="str">
        <f t="shared" si="5"/>
        <v>Tuesday</v>
      </c>
      <c r="D366" s="26">
        <v>0.41666666666666669</v>
      </c>
      <c r="E366" t="s">
        <v>766</v>
      </c>
      <c r="F366" t="s">
        <v>10</v>
      </c>
      <c r="G366">
        <v>14</v>
      </c>
      <c r="I366" t="s">
        <v>767</v>
      </c>
      <c r="J366" t="s">
        <v>14</v>
      </c>
      <c r="K366" t="b">
        <v>1</v>
      </c>
      <c r="L366">
        <v>25</v>
      </c>
      <c r="M366" t="s">
        <v>21</v>
      </c>
    </row>
    <row r="367" spans="1:13" x14ac:dyDescent="0.35">
      <c r="A367" s="2">
        <v>45132.603032407409</v>
      </c>
      <c r="B367" s="2" t="s">
        <v>1087</v>
      </c>
      <c r="C367" s="2" t="str">
        <f t="shared" si="5"/>
        <v>Tuesday</v>
      </c>
      <c r="D367" s="26">
        <v>0.58333333333333337</v>
      </c>
      <c r="E367" t="s">
        <v>768</v>
      </c>
      <c r="F367" t="s">
        <v>10</v>
      </c>
      <c r="G367">
        <v>77</v>
      </c>
      <c r="I367" t="s">
        <v>769</v>
      </c>
      <c r="J367" t="s">
        <v>11</v>
      </c>
      <c r="K367" t="b">
        <v>1</v>
      </c>
      <c r="L367">
        <v>25</v>
      </c>
      <c r="M367" t="s">
        <v>21</v>
      </c>
    </row>
    <row r="368" spans="1:13" x14ac:dyDescent="0.35">
      <c r="A368" s="2">
        <v>45133.050520833334</v>
      </c>
      <c r="B368" s="2" t="s">
        <v>1087</v>
      </c>
      <c r="C368" s="2" t="str">
        <f t="shared" si="5"/>
        <v>Wednesday</v>
      </c>
      <c r="D368" s="26">
        <v>4.1666666666666664E-2</v>
      </c>
      <c r="E368" t="s">
        <v>770</v>
      </c>
      <c r="F368" t="s">
        <v>12</v>
      </c>
      <c r="G368">
        <v>29</v>
      </c>
      <c r="I368" t="s">
        <v>771</v>
      </c>
      <c r="J368" t="s">
        <v>16</v>
      </c>
      <c r="K368" t="b">
        <v>0</v>
      </c>
      <c r="L368">
        <v>38</v>
      </c>
      <c r="M368" t="s">
        <v>21</v>
      </c>
    </row>
    <row r="369" spans="1:13" x14ac:dyDescent="0.35">
      <c r="A369" s="2">
        <v>45134.210902777777</v>
      </c>
      <c r="B369" s="2" t="s">
        <v>1087</v>
      </c>
      <c r="C369" s="2" t="str">
        <f t="shared" si="5"/>
        <v>Thursday</v>
      </c>
      <c r="D369" s="26">
        <v>0.20833333333333334</v>
      </c>
      <c r="E369" t="s">
        <v>772</v>
      </c>
      <c r="F369" t="s">
        <v>10</v>
      </c>
      <c r="G369">
        <v>73</v>
      </c>
      <c r="H369">
        <v>4</v>
      </c>
      <c r="I369" t="s">
        <v>773</v>
      </c>
      <c r="J369" t="s">
        <v>14</v>
      </c>
      <c r="K369" t="b">
        <v>0</v>
      </c>
      <c r="L369">
        <v>35</v>
      </c>
      <c r="M369" t="s">
        <v>21</v>
      </c>
    </row>
    <row r="370" spans="1:13" x14ac:dyDescent="0.35">
      <c r="A370" s="2">
        <v>45134.545428240737</v>
      </c>
      <c r="B370" s="2" t="s">
        <v>1087</v>
      </c>
      <c r="C370" s="2" t="str">
        <f t="shared" si="5"/>
        <v>Thursday</v>
      </c>
      <c r="D370" s="26">
        <v>0.54166666666666663</v>
      </c>
      <c r="E370" t="s">
        <v>774</v>
      </c>
      <c r="F370" t="s">
        <v>10</v>
      </c>
      <c r="G370">
        <v>28</v>
      </c>
      <c r="H370">
        <v>5</v>
      </c>
      <c r="I370" t="s">
        <v>775</v>
      </c>
      <c r="J370" t="s">
        <v>13</v>
      </c>
      <c r="K370" t="b">
        <v>0</v>
      </c>
      <c r="L370">
        <v>60</v>
      </c>
      <c r="M370" t="s">
        <v>21</v>
      </c>
    </row>
    <row r="371" spans="1:13" x14ac:dyDescent="0.35">
      <c r="A371" s="2">
        <v>45135.310972222222</v>
      </c>
      <c r="B371" s="2" t="s">
        <v>1087</v>
      </c>
      <c r="C371" s="2" t="str">
        <f t="shared" si="5"/>
        <v>Friday</v>
      </c>
      <c r="D371" s="26">
        <v>0.29166666666666669</v>
      </c>
      <c r="E371" t="s">
        <v>776</v>
      </c>
      <c r="F371" t="s">
        <v>12</v>
      </c>
      <c r="G371">
        <v>49</v>
      </c>
      <c r="I371" t="s">
        <v>777</v>
      </c>
      <c r="J371" t="s">
        <v>18</v>
      </c>
      <c r="K371" t="b">
        <v>1</v>
      </c>
      <c r="L371">
        <v>39</v>
      </c>
      <c r="M371" t="s">
        <v>21</v>
      </c>
    </row>
    <row r="372" spans="1:13" x14ac:dyDescent="0.35">
      <c r="A372" s="2">
        <v>45136.580439814818</v>
      </c>
      <c r="B372" s="2" t="s">
        <v>1087</v>
      </c>
      <c r="C372" s="2" t="str">
        <f t="shared" si="5"/>
        <v>Saturday</v>
      </c>
      <c r="D372" s="26">
        <v>0.54166666666666663</v>
      </c>
      <c r="E372" t="s">
        <v>778</v>
      </c>
      <c r="F372" t="s">
        <v>12</v>
      </c>
      <c r="G372">
        <v>74</v>
      </c>
      <c r="I372" t="s">
        <v>779</v>
      </c>
      <c r="J372" t="s">
        <v>14</v>
      </c>
      <c r="K372" t="b">
        <v>0</v>
      </c>
      <c r="L372">
        <v>49</v>
      </c>
      <c r="M372" t="s">
        <v>21</v>
      </c>
    </row>
    <row r="373" spans="1:13" x14ac:dyDescent="0.35">
      <c r="A373" s="2">
        <v>45136.785138888888</v>
      </c>
      <c r="B373" s="2" t="s">
        <v>1087</v>
      </c>
      <c r="C373" s="2" t="str">
        <f t="shared" si="5"/>
        <v>Saturday</v>
      </c>
      <c r="D373" s="26">
        <v>0.75</v>
      </c>
      <c r="E373" t="s">
        <v>780</v>
      </c>
      <c r="F373" t="s">
        <v>12</v>
      </c>
      <c r="G373">
        <v>28</v>
      </c>
      <c r="I373" t="s">
        <v>781</v>
      </c>
      <c r="J373" t="s">
        <v>13</v>
      </c>
      <c r="K373" t="b">
        <v>0</v>
      </c>
      <c r="L373">
        <v>40</v>
      </c>
      <c r="M373" t="s">
        <v>21</v>
      </c>
    </row>
    <row r="374" spans="1:13" x14ac:dyDescent="0.35">
      <c r="A374" s="2">
        <v>45136.905497685184</v>
      </c>
      <c r="B374" s="2" t="s">
        <v>1087</v>
      </c>
      <c r="C374" s="2" t="str">
        <f t="shared" si="5"/>
        <v>Saturday</v>
      </c>
      <c r="D374" s="26">
        <v>0.875</v>
      </c>
      <c r="E374" t="s">
        <v>782</v>
      </c>
      <c r="F374" t="s">
        <v>12</v>
      </c>
      <c r="G374">
        <v>11</v>
      </c>
      <c r="I374" t="s">
        <v>783</v>
      </c>
      <c r="J374" t="s">
        <v>11</v>
      </c>
      <c r="K374" t="b">
        <v>1</v>
      </c>
      <c r="L374">
        <v>23</v>
      </c>
      <c r="M374" t="s">
        <v>21</v>
      </c>
    </row>
    <row r="375" spans="1:13" x14ac:dyDescent="0.35">
      <c r="A375" s="2">
        <v>45137.928425925929</v>
      </c>
      <c r="B375" s="2" t="s">
        <v>1087</v>
      </c>
      <c r="C375" s="2" t="str">
        <f t="shared" si="5"/>
        <v>Sunday</v>
      </c>
      <c r="D375" s="26">
        <v>0.91666666666666663</v>
      </c>
      <c r="E375" t="s">
        <v>784</v>
      </c>
      <c r="F375" t="s">
        <v>10</v>
      </c>
      <c r="G375">
        <v>7</v>
      </c>
      <c r="I375" t="s">
        <v>785</v>
      </c>
      <c r="J375" t="s">
        <v>16</v>
      </c>
      <c r="K375" t="b">
        <v>1</v>
      </c>
      <c r="L375">
        <v>27</v>
      </c>
      <c r="M375" t="s">
        <v>21</v>
      </c>
    </row>
    <row r="376" spans="1:13" x14ac:dyDescent="0.35">
      <c r="A376" s="2">
        <v>45137.96769675926</v>
      </c>
      <c r="B376" s="2" t="s">
        <v>1087</v>
      </c>
      <c r="C376" s="2" t="str">
        <f t="shared" si="5"/>
        <v>Sunday</v>
      </c>
      <c r="D376" s="26">
        <v>0.95833333333333337</v>
      </c>
      <c r="E376" t="s">
        <v>786</v>
      </c>
      <c r="F376" t="s">
        <v>10</v>
      </c>
      <c r="G376">
        <v>16</v>
      </c>
      <c r="I376" t="s">
        <v>787</v>
      </c>
      <c r="J376" t="s">
        <v>16</v>
      </c>
      <c r="K376" t="b">
        <v>0</v>
      </c>
      <c r="L376">
        <v>33</v>
      </c>
      <c r="M376" t="s">
        <v>21</v>
      </c>
    </row>
    <row r="377" spans="1:13" x14ac:dyDescent="0.35">
      <c r="A377" s="2">
        <v>45138.124699074076</v>
      </c>
      <c r="B377" s="2" t="s">
        <v>1087</v>
      </c>
      <c r="C377" s="2" t="str">
        <f t="shared" si="5"/>
        <v>Monday</v>
      </c>
      <c r="D377" s="26">
        <v>8.3333333333333329E-2</v>
      </c>
      <c r="E377" t="s">
        <v>788</v>
      </c>
      <c r="F377" t="s">
        <v>10</v>
      </c>
      <c r="G377">
        <v>44</v>
      </c>
      <c r="I377" t="s">
        <v>789</v>
      </c>
      <c r="J377" t="s">
        <v>18</v>
      </c>
      <c r="K377" t="b">
        <v>1</v>
      </c>
      <c r="L377">
        <v>30</v>
      </c>
      <c r="M377" t="s">
        <v>21</v>
      </c>
    </row>
    <row r="378" spans="1:13" x14ac:dyDescent="0.35">
      <c r="A378" s="2">
        <v>45138.640752314815</v>
      </c>
      <c r="B378" s="2" t="s">
        <v>1087</v>
      </c>
      <c r="C378" s="2" t="str">
        <f t="shared" si="5"/>
        <v>Monday</v>
      </c>
      <c r="D378" s="26">
        <v>0.625</v>
      </c>
      <c r="E378" t="s">
        <v>790</v>
      </c>
      <c r="F378" t="s">
        <v>12</v>
      </c>
      <c r="G378">
        <v>31</v>
      </c>
      <c r="H378">
        <v>1</v>
      </c>
      <c r="I378" t="s">
        <v>791</v>
      </c>
      <c r="J378" t="s">
        <v>16</v>
      </c>
      <c r="K378" t="b">
        <v>0</v>
      </c>
      <c r="L378">
        <v>55</v>
      </c>
      <c r="M378" t="s">
        <v>21</v>
      </c>
    </row>
    <row r="379" spans="1:13" x14ac:dyDescent="0.35">
      <c r="A379" s="2">
        <v>45139.371921296297</v>
      </c>
      <c r="B379" s="2" t="s">
        <v>1088</v>
      </c>
      <c r="C379" s="2" t="str">
        <f t="shared" si="5"/>
        <v>Tuesday</v>
      </c>
      <c r="D379" s="26">
        <v>0.33333333333333331</v>
      </c>
      <c r="E379" t="s">
        <v>792</v>
      </c>
      <c r="F379" t="s">
        <v>12</v>
      </c>
      <c r="G379">
        <v>7</v>
      </c>
      <c r="H379">
        <v>6</v>
      </c>
      <c r="I379" t="s">
        <v>253</v>
      </c>
      <c r="J379" t="s">
        <v>17</v>
      </c>
      <c r="K379" t="b">
        <v>0</v>
      </c>
      <c r="L379">
        <v>15</v>
      </c>
      <c r="M379" t="s">
        <v>21</v>
      </c>
    </row>
    <row r="380" spans="1:13" x14ac:dyDescent="0.35">
      <c r="A380" s="2">
        <v>45139.721030092594</v>
      </c>
      <c r="B380" s="2" t="s">
        <v>1088</v>
      </c>
      <c r="C380" s="2" t="str">
        <f t="shared" si="5"/>
        <v>Tuesday</v>
      </c>
      <c r="D380" s="26">
        <v>0.70833333333333337</v>
      </c>
      <c r="E380" t="s">
        <v>793</v>
      </c>
      <c r="F380" t="s">
        <v>10</v>
      </c>
      <c r="G380">
        <v>46</v>
      </c>
      <c r="H380">
        <v>5</v>
      </c>
      <c r="I380" t="s">
        <v>794</v>
      </c>
      <c r="J380" t="s">
        <v>13</v>
      </c>
      <c r="K380" t="b">
        <v>0</v>
      </c>
      <c r="L380">
        <v>51</v>
      </c>
      <c r="M380" t="s">
        <v>21</v>
      </c>
    </row>
    <row r="381" spans="1:13" x14ac:dyDescent="0.35">
      <c r="A381" s="2">
        <v>45140.004363425927</v>
      </c>
      <c r="B381" s="2" t="s">
        <v>1088</v>
      </c>
      <c r="C381" s="2" t="str">
        <f t="shared" si="5"/>
        <v>Wednesday</v>
      </c>
      <c r="D381" s="26">
        <v>0</v>
      </c>
      <c r="E381" t="s">
        <v>795</v>
      </c>
      <c r="F381" t="s">
        <v>12</v>
      </c>
      <c r="G381">
        <v>50</v>
      </c>
      <c r="I381" t="s">
        <v>796</v>
      </c>
      <c r="J381" t="s">
        <v>14</v>
      </c>
      <c r="K381" t="b">
        <v>0</v>
      </c>
      <c r="L381">
        <v>26</v>
      </c>
      <c r="M381" t="s">
        <v>21</v>
      </c>
    </row>
    <row r="382" spans="1:13" x14ac:dyDescent="0.35">
      <c r="A382" s="2">
        <v>45140.677002314813</v>
      </c>
      <c r="B382" s="2" t="s">
        <v>1088</v>
      </c>
      <c r="C382" s="2" t="str">
        <f t="shared" si="5"/>
        <v>Wednesday</v>
      </c>
      <c r="D382" s="26">
        <v>0.66666666666666663</v>
      </c>
      <c r="E382" t="s">
        <v>797</v>
      </c>
      <c r="F382" t="s">
        <v>10</v>
      </c>
      <c r="G382">
        <v>27</v>
      </c>
      <c r="H382">
        <v>6</v>
      </c>
      <c r="I382" t="s">
        <v>798</v>
      </c>
      <c r="J382" t="s">
        <v>13</v>
      </c>
      <c r="K382" t="b">
        <v>0</v>
      </c>
      <c r="L382">
        <v>37</v>
      </c>
      <c r="M382" t="s">
        <v>21</v>
      </c>
    </row>
    <row r="383" spans="1:13" x14ac:dyDescent="0.35">
      <c r="A383" s="2">
        <v>45140.780868055554</v>
      </c>
      <c r="B383" s="2" t="s">
        <v>1088</v>
      </c>
      <c r="C383" s="2" t="str">
        <f t="shared" si="5"/>
        <v>Wednesday</v>
      </c>
      <c r="D383" s="26">
        <v>0.75</v>
      </c>
      <c r="E383" t="s">
        <v>800</v>
      </c>
      <c r="F383" t="s">
        <v>10</v>
      </c>
      <c r="G383">
        <v>19</v>
      </c>
      <c r="I383" t="s">
        <v>801</v>
      </c>
      <c r="J383" t="s">
        <v>11</v>
      </c>
      <c r="K383" t="b">
        <v>0</v>
      </c>
      <c r="L383">
        <v>11</v>
      </c>
      <c r="M383" t="s">
        <v>21</v>
      </c>
    </row>
    <row r="384" spans="1:13" x14ac:dyDescent="0.35">
      <c r="A384" s="2">
        <v>45141.060983796298</v>
      </c>
      <c r="B384" s="2" t="s">
        <v>1088</v>
      </c>
      <c r="C384" s="2" t="str">
        <f t="shared" si="5"/>
        <v>Thursday</v>
      </c>
      <c r="D384" s="26">
        <v>4.1666666666666664E-2</v>
      </c>
      <c r="E384" t="s">
        <v>802</v>
      </c>
      <c r="F384" t="s">
        <v>10</v>
      </c>
      <c r="G384">
        <v>61</v>
      </c>
      <c r="I384" t="s">
        <v>803</v>
      </c>
      <c r="J384" t="s">
        <v>16</v>
      </c>
      <c r="K384" t="b">
        <v>1</v>
      </c>
      <c r="L384">
        <v>18</v>
      </c>
      <c r="M384" t="s">
        <v>21</v>
      </c>
    </row>
    <row r="385" spans="1:13" x14ac:dyDescent="0.35">
      <c r="A385" s="2">
        <v>45141.301678240743</v>
      </c>
      <c r="B385" s="2" t="s">
        <v>1088</v>
      </c>
      <c r="C385" s="2" t="str">
        <f t="shared" si="5"/>
        <v>Thursday</v>
      </c>
      <c r="D385" s="26">
        <v>0.29166666666666669</v>
      </c>
      <c r="E385" t="s">
        <v>804</v>
      </c>
      <c r="F385" t="s">
        <v>10</v>
      </c>
      <c r="G385">
        <v>6</v>
      </c>
      <c r="I385" t="s">
        <v>805</v>
      </c>
      <c r="J385" t="s">
        <v>11</v>
      </c>
      <c r="K385" t="b">
        <v>0</v>
      </c>
      <c r="L385">
        <v>42</v>
      </c>
      <c r="M385" t="s">
        <v>21</v>
      </c>
    </row>
    <row r="386" spans="1:13" x14ac:dyDescent="0.35">
      <c r="A386" s="2">
        <v>45141.350254629629</v>
      </c>
      <c r="B386" s="2" t="s">
        <v>1088</v>
      </c>
      <c r="C386" s="2" t="str">
        <f t="shared" si="5"/>
        <v>Thursday</v>
      </c>
      <c r="D386" s="26">
        <v>0.33333333333333331</v>
      </c>
      <c r="E386" t="s">
        <v>806</v>
      </c>
      <c r="F386" t="s">
        <v>10</v>
      </c>
      <c r="G386">
        <v>61</v>
      </c>
      <c r="H386">
        <v>7</v>
      </c>
      <c r="I386" t="s">
        <v>807</v>
      </c>
      <c r="J386" t="s">
        <v>15</v>
      </c>
      <c r="K386" t="b">
        <v>1</v>
      </c>
      <c r="L386">
        <v>52</v>
      </c>
      <c r="M386" t="s">
        <v>21</v>
      </c>
    </row>
    <row r="387" spans="1:13" x14ac:dyDescent="0.35">
      <c r="A387" s="2">
        <v>45141.779120370367</v>
      </c>
      <c r="B387" s="2" t="s">
        <v>1088</v>
      </c>
      <c r="C387" s="2" t="str">
        <f t="shared" ref="C387:C450" si="6">TEXT(A387,"dddd")</f>
        <v>Thursday</v>
      </c>
      <c r="D387" s="26">
        <v>0.75</v>
      </c>
      <c r="E387" t="s">
        <v>808</v>
      </c>
      <c r="F387" t="s">
        <v>12</v>
      </c>
      <c r="G387">
        <v>6</v>
      </c>
      <c r="I387" t="s">
        <v>809</v>
      </c>
      <c r="J387" t="s">
        <v>13</v>
      </c>
      <c r="K387" t="b">
        <v>0</v>
      </c>
      <c r="L387">
        <v>24</v>
      </c>
      <c r="M387" t="s">
        <v>21</v>
      </c>
    </row>
    <row r="388" spans="1:13" x14ac:dyDescent="0.35">
      <c r="A388" s="2">
        <v>45142.828460648147</v>
      </c>
      <c r="B388" s="2" t="s">
        <v>1088</v>
      </c>
      <c r="C388" s="2" t="str">
        <f t="shared" si="6"/>
        <v>Friday</v>
      </c>
      <c r="D388" s="26">
        <v>0.79166666666666663</v>
      </c>
      <c r="E388" t="s">
        <v>810</v>
      </c>
      <c r="F388" t="s">
        <v>10</v>
      </c>
      <c r="G388">
        <v>28</v>
      </c>
      <c r="H388">
        <v>6</v>
      </c>
      <c r="I388" t="s">
        <v>811</v>
      </c>
      <c r="J388" t="s">
        <v>17</v>
      </c>
      <c r="K388" t="b">
        <v>0</v>
      </c>
      <c r="L388">
        <v>40</v>
      </c>
      <c r="M388" t="s">
        <v>21</v>
      </c>
    </row>
    <row r="389" spans="1:13" x14ac:dyDescent="0.35">
      <c r="A389" s="2">
        <v>45142.937916666669</v>
      </c>
      <c r="B389" s="2" t="s">
        <v>1088</v>
      </c>
      <c r="C389" s="2" t="str">
        <f t="shared" si="6"/>
        <v>Friday</v>
      </c>
      <c r="D389" s="26">
        <v>0.91666666666666663</v>
      </c>
      <c r="E389" t="s">
        <v>812</v>
      </c>
      <c r="F389" t="s">
        <v>12</v>
      </c>
      <c r="G389">
        <v>46</v>
      </c>
      <c r="H389">
        <v>9</v>
      </c>
      <c r="I389" t="s">
        <v>813</v>
      </c>
      <c r="J389" t="s">
        <v>16</v>
      </c>
      <c r="K389" t="b">
        <v>0</v>
      </c>
      <c r="L389">
        <v>30</v>
      </c>
      <c r="M389" t="s">
        <v>21</v>
      </c>
    </row>
    <row r="390" spans="1:13" x14ac:dyDescent="0.35">
      <c r="A390" s="2">
        <v>45144.674120370371</v>
      </c>
      <c r="B390" s="2" t="s">
        <v>1088</v>
      </c>
      <c r="C390" s="2" t="str">
        <f t="shared" si="6"/>
        <v>Sunday</v>
      </c>
      <c r="D390" s="26">
        <v>0.66666666666666663</v>
      </c>
      <c r="E390" t="s">
        <v>814</v>
      </c>
      <c r="F390" t="s">
        <v>10</v>
      </c>
      <c r="G390">
        <v>19</v>
      </c>
      <c r="H390">
        <v>4</v>
      </c>
      <c r="I390" t="s">
        <v>815</v>
      </c>
      <c r="J390" t="s">
        <v>14</v>
      </c>
      <c r="K390" t="b">
        <v>1</v>
      </c>
      <c r="L390">
        <v>25</v>
      </c>
      <c r="M390" t="s">
        <v>21</v>
      </c>
    </row>
    <row r="391" spans="1:13" x14ac:dyDescent="0.35">
      <c r="A391" s="2">
        <v>45145.65121527778</v>
      </c>
      <c r="B391" s="2" t="s">
        <v>1088</v>
      </c>
      <c r="C391" s="2" t="str">
        <f t="shared" si="6"/>
        <v>Monday</v>
      </c>
      <c r="D391" s="26">
        <v>0.625</v>
      </c>
      <c r="E391" t="s">
        <v>816</v>
      </c>
      <c r="F391" t="s">
        <v>10</v>
      </c>
      <c r="G391">
        <v>4</v>
      </c>
      <c r="I391" t="s">
        <v>817</v>
      </c>
      <c r="J391" t="s">
        <v>13</v>
      </c>
      <c r="K391" t="b">
        <v>0</v>
      </c>
      <c r="L391">
        <v>40</v>
      </c>
      <c r="M391" t="s">
        <v>21</v>
      </c>
    </row>
    <row r="392" spans="1:13" x14ac:dyDescent="0.35">
      <c r="A392" s="2">
        <v>45146.064340277779</v>
      </c>
      <c r="B392" s="2" t="s">
        <v>1088</v>
      </c>
      <c r="C392" s="2" t="str">
        <f t="shared" si="6"/>
        <v>Tuesday</v>
      </c>
      <c r="D392" s="26">
        <v>4.1666666666666664E-2</v>
      </c>
      <c r="E392" t="s">
        <v>818</v>
      </c>
      <c r="F392" t="s">
        <v>10</v>
      </c>
      <c r="G392">
        <v>25</v>
      </c>
      <c r="I392" t="s">
        <v>819</v>
      </c>
      <c r="J392" t="s">
        <v>16</v>
      </c>
      <c r="K392" t="b">
        <v>0</v>
      </c>
      <c r="L392">
        <v>44</v>
      </c>
      <c r="M392" t="s">
        <v>21</v>
      </c>
    </row>
    <row r="393" spans="1:13" x14ac:dyDescent="0.35">
      <c r="A393" s="2">
        <v>45146.223599537036</v>
      </c>
      <c r="B393" s="2" t="s">
        <v>1088</v>
      </c>
      <c r="C393" s="2" t="str">
        <f t="shared" si="6"/>
        <v>Tuesday</v>
      </c>
      <c r="D393" s="26">
        <v>0.20833333333333334</v>
      </c>
      <c r="E393" t="s">
        <v>820</v>
      </c>
      <c r="F393" t="s">
        <v>10</v>
      </c>
      <c r="G393">
        <v>53</v>
      </c>
      <c r="I393" t="s">
        <v>821</v>
      </c>
      <c r="J393" t="s">
        <v>14</v>
      </c>
      <c r="K393" t="b">
        <v>1</v>
      </c>
      <c r="L393">
        <v>20</v>
      </c>
      <c r="M393" t="s">
        <v>21</v>
      </c>
    </row>
    <row r="394" spans="1:13" x14ac:dyDescent="0.35">
      <c r="A394" s="2">
        <v>45146.908437500002</v>
      </c>
      <c r="B394" s="2" t="s">
        <v>1088</v>
      </c>
      <c r="C394" s="2" t="str">
        <f t="shared" si="6"/>
        <v>Tuesday</v>
      </c>
      <c r="D394" s="26">
        <v>0.875</v>
      </c>
      <c r="E394" t="s">
        <v>822</v>
      </c>
      <c r="F394" t="s">
        <v>12</v>
      </c>
      <c r="G394">
        <v>28</v>
      </c>
      <c r="H394">
        <v>6</v>
      </c>
      <c r="I394" t="s">
        <v>414</v>
      </c>
      <c r="J394" t="s">
        <v>13</v>
      </c>
      <c r="K394" t="b">
        <v>0</v>
      </c>
      <c r="L394">
        <v>12</v>
      </c>
      <c r="M394" t="s">
        <v>21</v>
      </c>
    </row>
    <row r="395" spans="1:13" x14ac:dyDescent="0.35">
      <c r="A395" s="2">
        <v>45147.023831018516</v>
      </c>
      <c r="B395" s="2" t="s">
        <v>1088</v>
      </c>
      <c r="C395" s="2" t="str">
        <f t="shared" si="6"/>
        <v>Wednesday</v>
      </c>
      <c r="D395" s="26">
        <v>0</v>
      </c>
      <c r="E395" t="s">
        <v>823</v>
      </c>
      <c r="F395" t="s">
        <v>10</v>
      </c>
      <c r="G395">
        <v>60</v>
      </c>
      <c r="H395">
        <v>4</v>
      </c>
      <c r="I395" t="s">
        <v>824</v>
      </c>
      <c r="J395" t="s">
        <v>14</v>
      </c>
      <c r="K395" t="b">
        <v>0</v>
      </c>
      <c r="L395">
        <v>28</v>
      </c>
      <c r="M395" t="s">
        <v>21</v>
      </c>
    </row>
    <row r="396" spans="1:13" x14ac:dyDescent="0.35">
      <c r="A396" s="2">
        <v>45147.13354166667</v>
      </c>
      <c r="B396" s="2" t="s">
        <v>1088</v>
      </c>
      <c r="C396" s="2" t="str">
        <f t="shared" si="6"/>
        <v>Wednesday</v>
      </c>
      <c r="D396" s="26">
        <v>0.125</v>
      </c>
      <c r="E396" t="s">
        <v>825</v>
      </c>
      <c r="F396" t="s">
        <v>10</v>
      </c>
      <c r="G396">
        <v>74</v>
      </c>
      <c r="I396" t="s">
        <v>826</v>
      </c>
      <c r="J396" t="s">
        <v>17</v>
      </c>
      <c r="K396" t="b">
        <v>0</v>
      </c>
      <c r="L396">
        <v>56</v>
      </c>
      <c r="M396" t="s">
        <v>21</v>
      </c>
    </row>
    <row r="397" spans="1:13" x14ac:dyDescent="0.35">
      <c r="A397" s="2">
        <v>45147.335844907408</v>
      </c>
      <c r="B397" s="2" t="s">
        <v>1088</v>
      </c>
      <c r="C397" s="2" t="str">
        <f t="shared" si="6"/>
        <v>Wednesday</v>
      </c>
      <c r="D397" s="26">
        <v>0.33333333333333331</v>
      </c>
      <c r="E397" t="s">
        <v>827</v>
      </c>
      <c r="F397" t="s">
        <v>12</v>
      </c>
      <c r="G397">
        <v>46</v>
      </c>
      <c r="I397" t="s">
        <v>828</v>
      </c>
      <c r="J397" t="s">
        <v>11</v>
      </c>
      <c r="K397" t="b">
        <v>1</v>
      </c>
      <c r="L397">
        <v>53</v>
      </c>
      <c r="M397" t="s">
        <v>21</v>
      </c>
    </row>
    <row r="398" spans="1:13" x14ac:dyDescent="0.35">
      <c r="A398" s="2">
        <v>45148.110185185185</v>
      </c>
      <c r="B398" s="2" t="s">
        <v>1088</v>
      </c>
      <c r="C398" s="2" t="str">
        <f t="shared" si="6"/>
        <v>Thursday</v>
      </c>
      <c r="D398" s="26">
        <v>8.3333333333333329E-2</v>
      </c>
      <c r="E398" t="s">
        <v>829</v>
      </c>
      <c r="F398" t="s">
        <v>12</v>
      </c>
      <c r="G398">
        <v>45</v>
      </c>
      <c r="I398" t="s">
        <v>830</v>
      </c>
      <c r="J398" t="s">
        <v>13</v>
      </c>
      <c r="K398" t="b">
        <v>0</v>
      </c>
      <c r="L398">
        <v>57</v>
      </c>
      <c r="M398" t="s">
        <v>21</v>
      </c>
    </row>
    <row r="399" spans="1:13" x14ac:dyDescent="0.35">
      <c r="A399" s="2">
        <v>45148.946967592594</v>
      </c>
      <c r="B399" s="2" t="s">
        <v>1088</v>
      </c>
      <c r="C399" s="2" t="str">
        <f t="shared" si="6"/>
        <v>Thursday</v>
      </c>
      <c r="D399" s="26">
        <v>0.91666666666666663</v>
      </c>
      <c r="E399" t="s">
        <v>832</v>
      </c>
      <c r="F399" t="s">
        <v>10</v>
      </c>
      <c r="G399">
        <v>3</v>
      </c>
      <c r="I399" t="s">
        <v>601</v>
      </c>
      <c r="J399" t="s">
        <v>13</v>
      </c>
      <c r="K399" t="b">
        <v>1</v>
      </c>
      <c r="L399">
        <v>31</v>
      </c>
      <c r="M399" t="s">
        <v>21</v>
      </c>
    </row>
    <row r="400" spans="1:13" x14ac:dyDescent="0.35">
      <c r="A400" s="2">
        <v>45150.253379629627</v>
      </c>
      <c r="B400" s="2" t="s">
        <v>1088</v>
      </c>
      <c r="C400" s="2" t="str">
        <f t="shared" si="6"/>
        <v>Saturday</v>
      </c>
      <c r="D400" s="26">
        <v>0.25</v>
      </c>
      <c r="E400" t="s">
        <v>834</v>
      </c>
      <c r="F400" t="s">
        <v>10</v>
      </c>
      <c r="G400">
        <v>24</v>
      </c>
      <c r="H400">
        <v>10</v>
      </c>
      <c r="I400" t="s">
        <v>835</v>
      </c>
      <c r="J400" t="s">
        <v>11</v>
      </c>
      <c r="K400" t="b">
        <v>0</v>
      </c>
      <c r="L400">
        <v>58</v>
      </c>
      <c r="M400" t="s">
        <v>21</v>
      </c>
    </row>
    <row r="401" spans="1:13" x14ac:dyDescent="0.35">
      <c r="A401" s="2">
        <v>45150.331273148149</v>
      </c>
      <c r="B401" s="2" t="s">
        <v>1088</v>
      </c>
      <c r="C401" s="2" t="str">
        <f t="shared" si="6"/>
        <v>Saturday</v>
      </c>
      <c r="D401" s="26">
        <v>0.29166666666666669</v>
      </c>
      <c r="E401" t="s">
        <v>836</v>
      </c>
      <c r="F401" t="s">
        <v>10</v>
      </c>
      <c r="G401">
        <v>24</v>
      </c>
      <c r="I401" t="s">
        <v>623</v>
      </c>
      <c r="J401" t="s">
        <v>13</v>
      </c>
      <c r="K401" t="b">
        <v>0</v>
      </c>
      <c r="L401">
        <v>46</v>
      </c>
      <c r="M401" t="s">
        <v>21</v>
      </c>
    </row>
    <row r="402" spans="1:13" x14ac:dyDescent="0.35">
      <c r="A402" s="2">
        <v>45150.351956018516</v>
      </c>
      <c r="B402" s="2" t="s">
        <v>1088</v>
      </c>
      <c r="C402" s="2" t="str">
        <f t="shared" si="6"/>
        <v>Saturday</v>
      </c>
      <c r="D402" s="26">
        <v>0.33333333333333331</v>
      </c>
      <c r="E402" t="s">
        <v>837</v>
      </c>
      <c r="F402" t="s">
        <v>10</v>
      </c>
      <c r="G402">
        <v>12</v>
      </c>
      <c r="I402" t="s">
        <v>838</v>
      </c>
      <c r="J402" t="s">
        <v>13</v>
      </c>
      <c r="K402" t="b">
        <v>0</v>
      </c>
      <c r="L402">
        <v>60</v>
      </c>
      <c r="M402" t="s">
        <v>21</v>
      </c>
    </row>
    <row r="403" spans="1:13" x14ac:dyDescent="0.35">
      <c r="A403" s="2">
        <v>45150.615706018521</v>
      </c>
      <c r="B403" s="2" t="s">
        <v>1088</v>
      </c>
      <c r="C403" s="2" t="str">
        <f t="shared" si="6"/>
        <v>Saturday</v>
      </c>
      <c r="D403" s="26">
        <v>0.58333333333333337</v>
      </c>
      <c r="E403" t="s">
        <v>839</v>
      </c>
      <c r="F403" t="s">
        <v>12</v>
      </c>
      <c r="G403">
        <v>27</v>
      </c>
      <c r="I403" t="s">
        <v>840</v>
      </c>
      <c r="J403" t="s">
        <v>16</v>
      </c>
      <c r="K403" t="b">
        <v>0</v>
      </c>
      <c r="L403">
        <v>52</v>
      </c>
      <c r="M403" t="s">
        <v>21</v>
      </c>
    </row>
    <row r="404" spans="1:13" x14ac:dyDescent="0.35">
      <c r="A404" s="2">
        <v>45151.164733796293</v>
      </c>
      <c r="B404" s="2" t="s">
        <v>1088</v>
      </c>
      <c r="C404" s="2" t="str">
        <f t="shared" si="6"/>
        <v>Sunday</v>
      </c>
      <c r="D404" s="26">
        <v>0.125</v>
      </c>
      <c r="E404" t="s">
        <v>841</v>
      </c>
      <c r="F404" t="s">
        <v>10</v>
      </c>
      <c r="G404">
        <v>19</v>
      </c>
      <c r="H404">
        <v>1</v>
      </c>
      <c r="I404" t="s">
        <v>842</v>
      </c>
      <c r="J404" t="s">
        <v>13</v>
      </c>
      <c r="K404" t="b">
        <v>0</v>
      </c>
      <c r="L404">
        <v>52</v>
      </c>
      <c r="M404" t="s">
        <v>21</v>
      </c>
    </row>
    <row r="405" spans="1:13" x14ac:dyDescent="0.35">
      <c r="A405" s="2">
        <v>45152.249062499999</v>
      </c>
      <c r="B405" s="2" t="s">
        <v>1088</v>
      </c>
      <c r="C405" s="2" t="str">
        <f t="shared" si="6"/>
        <v>Monday</v>
      </c>
      <c r="D405" s="26">
        <v>0.20833333333333334</v>
      </c>
      <c r="E405" t="s">
        <v>843</v>
      </c>
      <c r="F405" t="s">
        <v>12</v>
      </c>
      <c r="G405">
        <v>59</v>
      </c>
      <c r="I405" t="s">
        <v>844</v>
      </c>
      <c r="J405" t="s">
        <v>17</v>
      </c>
      <c r="K405" t="b">
        <v>0</v>
      </c>
      <c r="L405">
        <v>35</v>
      </c>
      <c r="M405" t="s">
        <v>21</v>
      </c>
    </row>
    <row r="406" spans="1:13" x14ac:dyDescent="0.35">
      <c r="A406" s="2">
        <v>45152.263935185183</v>
      </c>
      <c r="B406" s="2" t="s">
        <v>1088</v>
      </c>
      <c r="C406" s="2" t="str">
        <f t="shared" si="6"/>
        <v>Monday</v>
      </c>
      <c r="D406" s="26">
        <v>0.25</v>
      </c>
      <c r="E406" t="s">
        <v>845</v>
      </c>
      <c r="F406" t="s">
        <v>12</v>
      </c>
      <c r="G406">
        <v>49</v>
      </c>
      <c r="I406" t="s">
        <v>846</v>
      </c>
      <c r="J406" t="s">
        <v>13</v>
      </c>
      <c r="K406" t="b">
        <v>0</v>
      </c>
      <c r="L406">
        <v>11</v>
      </c>
      <c r="M406" t="s">
        <v>21</v>
      </c>
    </row>
    <row r="407" spans="1:13" x14ac:dyDescent="0.35">
      <c r="A407" s="2">
        <v>45152.795162037037</v>
      </c>
      <c r="B407" s="2" t="s">
        <v>1088</v>
      </c>
      <c r="C407" s="2" t="str">
        <f t="shared" si="6"/>
        <v>Monday</v>
      </c>
      <c r="D407" s="26">
        <v>0.79166666666666663</v>
      </c>
      <c r="E407" t="s">
        <v>847</v>
      </c>
      <c r="F407" t="s">
        <v>10</v>
      </c>
      <c r="G407">
        <v>68</v>
      </c>
      <c r="I407" t="s">
        <v>494</v>
      </c>
      <c r="J407" t="s">
        <v>11</v>
      </c>
      <c r="K407" t="b">
        <v>1</v>
      </c>
      <c r="L407">
        <v>28</v>
      </c>
      <c r="M407" t="s">
        <v>21</v>
      </c>
    </row>
    <row r="408" spans="1:13" x14ac:dyDescent="0.35">
      <c r="A408" s="2">
        <v>45153.236851851849</v>
      </c>
      <c r="B408" s="2" t="s">
        <v>1088</v>
      </c>
      <c r="C408" s="2" t="str">
        <f t="shared" si="6"/>
        <v>Tuesday</v>
      </c>
      <c r="D408" s="26">
        <v>0.20833333333333334</v>
      </c>
      <c r="E408" t="s">
        <v>848</v>
      </c>
      <c r="F408" t="s">
        <v>12</v>
      </c>
      <c r="G408">
        <v>69</v>
      </c>
      <c r="I408" t="s">
        <v>849</v>
      </c>
      <c r="J408" t="s">
        <v>15</v>
      </c>
      <c r="K408" t="b">
        <v>0</v>
      </c>
      <c r="L408">
        <v>45</v>
      </c>
      <c r="M408" t="s">
        <v>21</v>
      </c>
    </row>
    <row r="409" spans="1:13" x14ac:dyDescent="0.35">
      <c r="A409" s="2">
        <v>45153.546550925923</v>
      </c>
      <c r="B409" s="2" t="s">
        <v>1088</v>
      </c>
      <c r="C409" s="2" t="str">
        <f t="shared" si="6"/>
        <v>Tuesday</v>
      </c>
      <c r="D409" s="26">
        <v>0.54166666666666663</v>
      </c>
      <c r="E409" t="s">
        <v>850</v>
      </c>
      <c r="F409" t="s">
        <v>10</v>
      </c>
      <c r="G409">
        <v>8</v>
      </c>
      <c r="H409">
        <v>3</v>
      </c>
      <c r="I409" t="s">
        <v>851</v>
      </c>
      <c r="J409" t="s">
        <v>15</v>
      </c>
      <c r="K409" t="b">
        <v>0</v>
      </c>
      <c r="L409">
        <v>24</v>
      </c>
      <c r="M409" t="s">
        <v>21</v>
      </c>
    </row>
    <row r="410" spans="1:13" x14ac:dyDescent="0.35">
      <c r="A410" s="2">
        <v>45153.743298611109</v>
      </c>
      <c r="B410" s="2" t="s">
        <v>1088</v>
      </c>
      <c r="C410" s="2" t="str">
        <f t="shared" si="6"/>
        <v>Tuesday</v>
      </c>
      <c r="D410" s="26">
        <v>0.70833333333333337</v>
      </c>
      <c r="E410" t="s">
        <v>852</v>
      </c>
      <c r="F410" t="s">
        <v>10</v>
      </c>
      <c r="G410">
        <v>28</v>
      </c>
      <c r="I410" t="s">
        <v>853</v>
      </c>
      <c r="J410" t="s">
        <v>15</v>
      </c>
      <c r="K410" t="b">
        <v>0</v>
      </c>
      <c r="L410">
        <v>10</v>
      </c>
      <c r="M410" t="s">
        <v>21</v>
      </c>
    </row>
    <row r="411" spans="1:13" x14ac:dyDescent="0.35">
      <c r="A411" s="2">
        <v>45153.930115740739</v>
      </c>
      <c r="B411" s="2" t="s">
        <v>1088</v>
      </c>
      <c r="C411" s="2" t="str">
        <f t="shared" si="6"/>
        <v>Tuesday</v>
      </c>
      <c r="D411" s="26">
        <v>0.91666666666666663</v>
      </c>
      <c r="E411" t="s">
        <v>854</v>
      </c>
      <c r="F411" t="s">
        <v>10</v>
      </c>
      <c r="G411">
        <v>73</v>
      </c>
      <c r="I411" t="s">
        <v>855</v>
      </c>
      <c r="J411" t="s">
        <v>13</v>
      </c>
      <c r="K411" t="b">
        <v>1</v>
      </c>
      <c r="L411">
        <v>38</v>
      </c>
      <c r="M411" t="s">
        <v>21</v>
      </c>
    </row>
    <row r="412" spans="1:13" x14ac:dyDescent="0.35">
      <c r="A412" s="2">
        <v>45154.674502314818</v>
      </c>
      <c r="B412" s="2" t="s">
        <v>1088</v>
      </c>
      <c r="C412" s="2" t="str">
        <f t="shared" si="6"/>
        <v>Wednesday</v>
      </c>
      <c r="D412" s="26">
        <v>0.66666666666666663</v>
      </c>
      <c r="E412" t="s">
        <v>856</v>
      </c>
      <c r="F412" t="s">
        <v>10</v>
      </c>
      <c r="G412">
        <v>64</v>
      </c>
      <c r="I412" t="s">
        <v>857</v>
      </c>
      <c r="J412" t="s">
        <v>14</v>
      </c>
      <c r="K412" t="b">
        <v>1</v>
      </c>
      <c r="L412">
        <v>51</v>
      </c>
      <c r="M412" t="s">
        <v>21</v>
      </c>
    </row>
    <row r="413" spans="1:13" x14ac:dyDescent="0.35">
      <c r="A413" s="2">
        <v>45155.898275462961</v>
      </c>
      <c r="B413" s="2" t="s">
        <v>1088</v>
      </c>
      <c r="C413" s="2" t="str">
        <f t="shared" si="6"/>
        <v>Thursday</v>
      </c>
      <c r="D413" s="26">
        <v>0.875</v>
      </c>
      <c r="E413" t="s">
        <v>859</v>
      </c>
      <c r="F413" t="s">
        <v>12</v>
      </c>
      <c r="G413">
        <v>66</v>
      </c>
      <c r="I413" t="s">
        <v>860</v>
      </c>
      <c r="J413" t="s">
        <v>11</v>
      </c>
      <c r="K413" t="b">
        <v>0</v>
      </c>
      <c r="L413">
        <v>52</v>
      </c>
      <c r="M413" t="s">
        <v>21</v>
      </c>
    </row>
    <row r="414" spans="1:13" x14ac:dyDescent="0.35">
      <c r="A414" s="2">
        <v>45157.954108796293</v>
      </c>
      <c r="B414" s="2" t="s">
        <v>1088</v>
      </c>
      <c r="C414" s="2" t="str">
        <f t="shared" si="6"/>
        <v>Saturday</v>
      </c>
      <c r="D414" s="26">
        <v>0.91666666666666663</v>
      </c>
      <c r="E414" t="s">
        <v>862</v>
      </c>
      <c r="F414" t="s">
        <v>10</v>
      </c>
      <c r="G414">
        <v>52</v>
      </c>
      <c r="I414" t="s">
        <v>863</v>
      </c>
      <c r="J414" t="s">
        <v>11</v>
      </c>
      <c r="K414" t="b">
        <v>1</v>
      </c>
      <c r="L414">
        <v>22</v>
      </c>
      <c r="M414" t="s">
        <v>21</v>
      </c>
    </row>
    <row r="415" spans="1:13" x14ac:dyDescent="0.35">
      <c r="A415" s="2">
        <v>45158.530381944445</v>
      </c>
      <c r="B415" s="2" t="s">
        <v>1088</v>
      </c>
      <c r="C415" s="2" t="str">
        <f t="shared" si="6"/>
        <v>Sunday</v>
      </c>
      <c r="D415" s="26">
        <v>0.5</v>
      </c>
      <c r="E415" t="s">
        <v>864</v>
      </c>
      <c r="F415" t="s">
        <v>10</v>
      </c>
      <c r="G415">
        <v>52</v>
      </c>
      <c r="H415">
        <v>3</v>
      </c>
      <c r="I415" t="s">
        <v>865</v>
      </c>
      <c r="J415" t="s">
        <v>14</v>
      </c>
      <c r="K415" t="b">
        <v>1</v>
      </c>
      <c r="L415">
        <v>56</v>
      </c>
      <c r="M415" t="s">
        <v>21</v>
      </c>
    </row>
    <row r="416" spans="1:13" x14ac:dyDescent="0.35">
      <c r="A416" s="2">
        <v>45158.742592592593</v>
      </c>
      <c r="B416" s="2" t="s">
        <v>1088</v>
      </c>
      <c r="C416" s="2" t="str">
        <f t="shared" si="6"/>
        <v>Sunday</v>
      </c>
      <c r="D416" s="26">
        <v>0.70833333333333337</v>
      </c>
      <c r="E416" t="s">
        <v>866</v>
      </c>
      <c r="F416" t="s">
        <v>10</v>
      </c>
      <c r="G416">
        <v>15</v>
      </c>
      <c r="I416" t="s">
        <v>867</v>
      </c>
      <c r="J416" t="s">
        <v>16</v>
      </c>
      <c r="K416" t="b">
        <v>1</v>
      </c>
      <c r="L416">
        <v>42</v>
      </c>
      <c r="M416" t="s">
        <v>21</v>
      </c>
    </row>
    <row r="417" spans="1:13" x14ac:dyDescent="0.35">
      <c r="A417" s="2">
        <v>45159.180925925924</v>
      </c>
      <c r="B417" s="2" t="s">
        <v>1088</v>
      </c>
      <c r="C417" s="2" t="str">
        <f t="shared" si="6"/>
        <v>Monday</v>
      </c>
      <c r="D417" s="26">
        <v>0.16666666666666666</v>
      </c>
      <c r="E417" t="s">
        <v>868</v>
      </c>
      <c r="F417" t="s">
        <v>10</v>
      </c>
      <c r="G417">
        <v>35</v>
      </c>
      <c r="I417" t="s">
        <v>869</v>
      </c>
      <c r="J417" t="s">
        <v>16</v>
      </c>
      <c r="K417" t="b">
        <v>0</v>
      </c>
      <c r="L417">
        <v>15</v>
      </c>
      <c r="M417" t="s">
        <v>21</v>
      </c>
    </row>
    <row r="418" spans="1:13" x14ac:dyDescent="0.35">
      <c r="A418" s="2">
        <v>45161.690925925926</v>
      </c>
      <c r="B418" s="2" t="s">
        <v>1088</v>
      </c>
      <c r="C418" s="2" t="str">
        <f t="shared" si="6"/>
        <v>Wednesday</v>
      </c>
      <c r="D418" s="26">
        <v>0.66666666666666663</v>
      </c>
      <c r="E418" t="s">
        <v>870</v>
      </c>
      <c r="F418" t="s">
        <v>10</v>
      </c>
      <c r="G418">
        <v>56</v>
      </c>
      <c r="H418">
        <v>10</v>
      </c>
      <c r="I418" t="s">
        <v>275</v>
      </c>
      <c r="J418" t="s">
        <v>16</v>
      </c>
      <c r="K418" t="b">
        <v>1</v>
      </c>
      <c r="L418">
        <v>60</v>
      </c>
      <c r="M418" t="s">
        <v>21</v>
      </c>
    </row>
    <row r="419" spans="1:13" x14ac:dyDescent="0.35">
      <c r="A419" s="2">
        <v>45162.736087962963</v>
      </c>
      <c r="B419" s="2" t="s">
        <v>1088</v>
      </c>
      <c r="C419" s="2" t="str">
        <f t="shared" si="6"/>
        <v>Thursday</v>
      </c>
      <c r="D419" s="26">
        <v>0.70833333333333337</v>
      </c>
      <c r="E419" t="s">
        <v>871</v>
      </c>
      <c r="F419" t="s">
        <v>10</v>
      </c>
      <c r="G419">
        <v>66</v>
      </c>
      <c r="I419" t="s">
        <v>872</v>
      </c>
      <c r="J419" t="s">
        <v>15</v>
      </c>
      <c r="K419" t="b">
        <v>1</v>
      </c>
      <c r="L419">
        <v>13</v>
      </c>
      <c r="M419" t="s">
        <v>21</v>
      </c>
    </row>
    <row r="420" spans="1:13" x14ac:dyDescent="0.35">
      <c r="A420" s="2">
        <v>45162.818206018521</v>
      </c>
      <c r="B420" s="2" t="s">
        <v>1088</v>
      </c>
      <c r="C420" s="2" t="str">
        <f t="shared" si="6"/>
        <v>Thursday</v>
      </c>
      <c r="D420" s="26">
        <v>0.79166666666666663</v>
      </c>
      <c r="E420" t="s">
        <v>873</v>
      </c>
      <c r="F420" t="s">
        <v>10</v>
      </c>
      <c r="G420">
        <v>73</v>
      </c>
      <c r="I420" t="s">
        <v>874</v>
      </c>
      <c r="J420" t="s">
        <v>14</v>
      </c>
      <c r="K420" t="b">
        <v>1</v>
      </c>
      <c r="L420">
        <v>18</v>
      </c>
      <c r="M420" t="s">
        <v>21</v>
      </c>
    </row>
    <row r="421" spans="1:13" x14ac:dyDescent="0.35">
      <c r="A421" s="2">
        <v>45163.234317129631</v>
      </c>
      <c r="B421" s="2" t="s">
        <v>1088</v>
      </c>
      <c r="C421" s="2" t="str">
        <f t="shared" si="6"/>
        <v>Friday</v>
      </c>
      <c r="D421" s="26">
        <v>0.20833333333333334</v>
      </c>
      <c r="E421" t="s">
        <v>875</v>
      </c>
      <c r="F421" t="s">
        <v>12</v>
      </c>
      <c r="G421">
        <v>68</v>
      </c>
      <c r="I421" t="s">
        <v>876</v>
      </c>
      <c r="J421" t="s">
        <v>13</v>
      </c>
      <c r="K421" t="b">
        <v>0</v>
      </c>
      <c r="L421">
        <v>57</v>
      </c>
      <c r="M421" t="s">
        <v>21</v>
      </c>
    </row>
    <row r="422" spans="1:13" x14ac:dyDescent="0.35">
      <c r="A422" s="2">
        <v>45163.709976851853</v>
      </c>
      <c r="B422" s="2" t="s">
        <v>1088</v>
      </c>
      <c r="C422" s="2" t="str">
        <f t="shared" si="6"/>
        <v>Friday</v>
      </c>
      <c r="D422" s="26">
        <v>0.70833333333333337</v>
      </c>
      <c r="E422" t="s">
        <v>877</v>
      </c>
      <c r="F422" t="s">
        <v>10</v>
      </c>
      <c r="G422">
        <v>32</v>
      </c>
      <c r="I422" t="s">
        <v>878</v>
      </c>
      <c r="J422" t="s">
        <v>15</v>
      </c>
      <c r="K422" t="b">
        <v>0</v>
      </c>
      <c r="L422">
        <v>34</v>
      </c>
      <c r="M422" t="s">
        <v>21</v>
      </c>
    </row>
    <row r="423" spans="1:13" x14ac:dyDescent="0.35">
      <c r="A423" s="2">
        <v>45163.752847222226</v>
      </c>
      <c r="B423" s="2" t="s">
        <v>1088</v>
      </c>
      <c r="C423" s="2" t="str">
        <f t="shared" si="6"/>
        <v>Friday</v>
      </c>
      <c r="D423" s="26">
        <v>0.75</v>
      </c>
      <c r="E423" t="s">
        <v>879</v>
      </c>
      <c r="F423" t="s">
        <v>10</v>
      </c>
      <c r="G423">
        <v>7</v>
      </c>
      <c r="I423" t="s">
        <v>880</v>
      </c>
      <c r="J423" t="s">
        <v>13</v>
      </c>
      <c r="K423" t="b">
        <v>0</v>
      </c>
      <c r="L423">
        <v>34</v>
      </c>
      <c r="M423" t="s">
        <v>21</v>
      </c>
    </row>
    <row r="424" spans="1:13" x14ac:dyDescent="0.35">
      <c r="A424" s="2">
        <v>45164.269814814812</v>
      </c>
      <c r="B424" s="2" t="s">
        <v>1088</v>
      </c>
      <c r="C424" s="2" t="str">
        <f t="shared" si="6"/>
        <v>Saturday</v>
      </c>
      <c r="D424" s="26">
        <v>0.25</v>
      </c>
      <c r="E424" t="s">
        <v>881</v>
      </c>
      <c r="F424" t="s">
        <v>10</v>
      </c>
      <c r="G424">
        <v>67</v>
      </c>
      <c r="H424">
        <v>6</v>
      </c>
      <c r="I424" t="s">
        <v>882</v>
      </c>
      <c r="J424" t="s">
        <v>15</v>
      </c>
      <c r="K424" t="b">
        <v>0</v>
      </c>
      <c r="L424">
        <v>29</v>
      </c>
      <c r="M424" t="s">
        <v>21</v>
      </c>
    </row>
    <row r="425" spans="1:13" x14ac:dyDescent="0.35">
      <c r="A425" s="2">
        <v>45164.766064814816</v>
      </c>
      <c r="B425" s="2" t="s">
        <v>1088</v>
      </c>
      <c r="C425" s="2" t="str">
        <f t="shared" si="6"/>
        <v>Saturday</v>
      </c>
      <c r="D425" s="26">
        <v>0.75</v>
      </c>
      <c r="E425" t="s">
        <v>883</v>
      </c>
      <c r="F425" t="s">
        <v>10</v>
      </c>
      <c r="G425">
        <v>79</v>
      </c>
      <c r="I425" t="s">
        <v>884</v>
      </c>
      <c r="J425" t="s">
        <v>16</v>
      </c>
      <c r="K425" t="b">
        <v>0</v>
      </c>
      <c r="L425">
        <v>18</v>
      </c>
      <c r="M425" t="s">
        <v>21</v>
      </c>
    </row>
    <row r="426" spans="1:13" x14ac:dyDescent="0.35">
      <c r="A426" s="2">
        <v>45164.880833333336</v>
      </c>
      <c r="B426" s="2" t="s">
        <v>1088</v>
      </c>
      <c r="C426" s="2" t="str">
        <f t="shared" si="6"/>
        <v>Saturday</v>
      </c>
      <c r="D426" s="26">
        <v>0.875</v>
      </c>
      <c r="E426" t="s">
        <v>885</v>
      </c>
      <c r="F426" t="s">
        <v>10</v>
      </c>
      <c r="G426">
        <v>55</v>
      </c>
      <c r="H426">
        <v>8</v>
      </c>
      <c r="I426" t="s">
        <v>886</v>
      </c>
      <c r="J426" t="s">
        <v>14</v>
      </c>
      <c r="K426" t="b">
        <v>1</v>
      </c>
      <c r="L426">
        <v>55</v>
      </c>
      <c r="M426" t="s">
        <v>21</v>
      </c>
    </row>
    <row r="427" spans="1:13" x14ac:dyDescent="0.35">
      <c r="A427" s="2">
        <v>45166.658993055556</v>
      </c>
      <c r="B427" s="2" t="s">
        <v>1088</v>
      </c>
      <c r="C427" s="2" t="str">
        <f t="shared" si="6"/>
        <v>Monday</v>
      </c>
      <c r="D427" s="26">
        <v>0.625</v>
      </c>
      <c r="E427" t="s">
        <v>887</v>
      </c>
      <c r="F427" t="s">
        <v>12</v>
      </c>
      <c r="G427">
        <v>54</v>
      </c>
      <c r="H427">
        <v>6</v>
      </c>
      <c r="I427" t="s">
        <v>888</v>
      </c>
      <c r="J427" t="s">
        <v>16</v>
      </c>
      <c r="K427" t="b">
        <v>0</v>
      </c>
      <c r="L427">
        <v>30</v>
      </c>
      <c r="M427" t="s">
        <v>21</v>
      </c>
    </row>
    <row r="428" spans="1:13" x14ac:dyDescent="0.35">
      <c r="A428" s="2">
        <v>45166.939768518518</v>
      </c>
      <c r="B428" s="2" t="s">
        <v>1088</v>
      </c>
      <c r="C428" s="2" t="str">
        <f t="shared" si="6"/>
        <v>Monday</v>
      </c>
      <c r="D428" s="26">
        <v>0.91666666666666663</v>
      </c>
      <c r="E428" t="s">
        <v>889</v>
      </c>
      <c r="F428" t="s">
        <v>12</v>
      </c>
      <c r="G428">
        <v>64</v>
      </c>
      <c r="H428">
        <v>3</v>
      </c>
      <c r="I428" t="s">
        <v>890</v>
      </c>
      <c r="J428" t="s">
        <v>11</v>
      </c>
      <c r="K428" t="b">
        <v>0</v>
      </c>
      <c r="L428">
        <v>34</v>
      </c>
      <c r="M428" t="s">
        <v>21</v>
      </c>
    </row>
    <row r="429" spans="1:13" x14ac:dyDescent="0.35">
      <c r="A429" s="2">
        <v>45167.264791666668</v>
      </c>
      <c r="B429" s="2" t="s">
        <v>1088</v>
      </c>
      <c r="C429" s="2" t="str">
        <f t="shared" si="6"/>
        <v>Tuesday</v>
      </c>
      <c r="D429" s="26">
        <v>0.25</v>
      </c>
      <c r="E429" t="s">
        <v>891</v>
      </c>
      <c r="F429" t="s">
        <v>12</v>
      </c>
      <c r="G429">
        <v>64</v>
      </c>
      <c r="I429" t="s">
        <v>892</v>
      </c>
      <c r="J429" t="s">
        <v>13</v>
      </c>
      <c r="K429" t="b">
        <v>0</v>
      </c>
      <c r="L429">
        <v>43</v>
      </c>
      <c r="M429" t="s">
        <v>21</v>
      </c>
    </row>
    <row r="430" spans="1:13" x14ac:dyDescent="0.35">
      <c r="A430" s="2">
        <v>45168.092164351852</v>
      </c>
      <c r="B430" s="2" t="s">
        <v>1088</v>
      </c>
      <c r="C430" s="2" t="str">
        <f t="shared" si="6"/>
        <v>Wednesday</v>
      </c>
      <c r="D430" s="26">
        <v>8.3333333333333329E-2</v>
      </c>
      <c r="E430" t="s">
        <v>893</v>
      </c>
      <c r="F430" t="s">
        <v>10</v>
      </c>
      <c r="G430">
        <v>36</v>
      </c>
      <c r="H430">
        <v>9</v>
      </c>
      <c r="I430" t="s">
        <v>360</v>
      </c>
      <c r="J430" t="s">
        <v>16</v>
      </c>
      <c r="K430" t="b">
        <v>1</v>
      </c>
      <c r="L430">
        <v>23</v>
      </c>
      <c r="M430" t="s">
        <v>21</v>
      </c>
    </row>
    <row r="431" spans="1:13" x14ac:dyDescent="0.35">
      <c r="A431" s="2">
        <v>45168.504305555558</v>
      </c>
      <c r="B431" s="2" t="s">
        <v>1088</v>
      </c>
      <c r="C431" s="2" t="str">
        <f t="shared" si="6"/>
        <v>Wednesday</v>
      </c>
      <c r="D431" s="26">
        <v>0.5</v>
      </c>
      <c r="E431" t="s">
        <v>894</v>
      </c>
      <c r="F431" t="s">
        <v>10</v>
      </c>
      <c r="G431">
        <v>21</v>
      </c>
      <c r="I431" t="s">
        <v>184</v>
      </c>
      <c r="J431" t="s">
        <v>13</v>
      </c>
      <c r="K431" t="b">
        <v>1</v>
      </c>
      <c r="L431">
        <v>58</v>
      </c>
      <c r="M431" t="s">
        <v>21</v>
      </c>
    </row>
    <row r="432" spans="1:13" x14ac:dyDescent="0.35">
      <c r="A432" s="2">
        <v>45170.099537037036</v>
      </c>
      <c r="B432" s="2" t="s">
        <v>1089</v>
      </c>
      <c r="C432" s="2" t="str">
        <f t="shared" si="6"/>
        <v>Friday</v>
      </c>
      <c r="D432" s="26">
        <v>8.3333333333333329E-2</v>
      </c>
      <c r="E432" t="s">
        <v>895</v>
      </c>
      <c r="F432" t="s">
        <v>10</v>
      </c>
      <c r="G432">
        <v>64</v>
      </c>
      <c r="I432" t="s">
        <v>896</v>
      </c>
      <c r="J432" t="s">
        <v>11</v>
      </c>
      <c r="K432" t="b">
        <v>0</v>
      </c>
      <c r="L432">
        <v>47</v>
      </c>
      <c r="M432" t="s">
        <v>21</v>
      </c>
    </row>
    <row r="433" spans="1:13" x14ac:dyDescent="0.35">
      <c r="A433" s="2">
        <v>45170.72452546296</v>
      </c>
      <c r="B433" s="2" t="s">
        <v>1089</v>
      </c>
      <c r="C433" s="2" t="str">
        <f t="shared" si="6"/>
        <v>Friday</v>
      </c>
      <c r="D433" s="26">
        <v>0.70833333333333337</v>
      </c>
      <c r="E433" t="s">
        <v>897</v>
      </c>
      <c r="F433" t="s">
        <v>10</v>
      </c>
      <c r="G433">
        <v>39</v>
      </c>
      <c r="H433">
        <v>2</v>
      </c>
      <c r="I433" t="s">
        <v>898</v>
      </c>
      <c r="J433" t="s">
        <v>14</v>
      </c>
      <c r="K433" t="b">
        <v>1</v>
      </c>
      <c r="L433">
        <v>30</v>
      </c>
      <c r="M433" t="s">
        <v>21</v>
      </c>
    </row>
    <row r="434" spans="1:13" x14ac:dyDescent="0.35">
      <c r="A434" s="2">
        <v>45172.187916666669</v>
      </c>
      <c r="B434" s="2" t="s">
        <v>1089</v>
      </c>
      <c r="C434" s="2" t="str">
        <f t="shared" si="6"/>
        <v>Sunday</v>
      </c>
      <c r="D434" s="26">
        <v>0.16666666666666666</v>
      </c>
      <c r="E434" t="s">
        <v>899</v>
      </c>
      <c r="F434" t="s">
        <v>12</v>
      </c>
      <c r="G434">
        <v>68</v>
      </c>
      <c r="I434" t="s">
        <v>900</v>
      </c>
      <c r="J434" t="s">
        <v>11</v>
      </c>
      <c r="K434" t="b">
        <v>1</v>
      </c>
      <c r="L434">
        <v>30</v>
      </c>
      <c r="M434" t="s">
        <v>21</v>
      </c>
    </row>
    <row r="435" spans="1:13" x14ac:dyDescent="0.35">
      <c r="A435" s="2">
        <v>45173.095752314817</v>
      </c>
      <c r="B435" s="2" t="s">
        <v>1089</v>
      </c>
      <c r="C435" s="2" t="str">
        <f t="shared" si="6"/>
        <v>Monday</v>
      </c>
      <c r="D435" s="26">
        <v>8.3333333333333329E-2</v>
      </c>
      <c r="E435" t="s">
        <v>901</v>
      </c>
      <c r="F435" t="s">
        <v>10</v>
      </c>
      <c r="G435">
        <v>21</v>
      </c>
      <c r="I435" t="s">
        <v>902</v>
      </c>
      <c r="J435" t="s">
        <v>16</v>
      </c>
      <c r="K435" t="b">
        <v>1</v>
      </c>
      <c r="L435">
        <v>12</v>
      </c>
      <c r="M435" t="s">
        <v>21</v>
      </c>
    </row>
    <row r="436" spans="1:13" x14ac:dyDescent="0.35">
      <c r="A436" s="2">
        <v>45173.269363425927</v>
      </c>
      <c r="B436" s="2" t="s">
        <v>1089</v>
      </c>
      <c r="C436" s="2" t="str">
        <f t="shared" si="6"/>
        <v>Monday</v>
      </c>
      <c r="D436" s="26">
        <v>0.25</v>
      </c>
      <c r="E436" t="s">
        <v>903</v>
      </c>
      <c r="F436" t="s">
        <v>10</v>
      </c>
      <c r="G436">
        <v>31</v>
      </c>
      <c r="I436" t="s">
        <v>509</v>
      </c>
      <c r="J436" t="s">
        <v>14</v>
      </c>
      <c r="K436" t="b">
        <v>1</v>
      </c>
      <c r="L436">
        <v>19</v>
      </c>
      <c r="M436" t="s">
        <v>21</v>
      </c>
    </row>
    <row r="437" spans="1:13" x14ac:dyDescent="0.35">
      <c r="A437" s="2">
        <v>45173.741979166669</v>
      </c>
      <c r="B437" s="2" t="s">
        <v>1089</v>
      </c>
      <c r="C437" s="2" t="str">
        <f t="shared" si="6"/>
        <v>Monday</v>
      </c>
      <c r="D437" s="26">
        <v>0.70833333333333337</v>
      </c>
      <c r="E437" t="s">
        <v>904</v>
      </c>
      <c r="F437" t="s">
        <v>10</v>
      </c>
      <c r="G437">
        <v>5</v>
      </c>
      <c r="I437" t="s">
        <v>905</v>
      </c>
      <c r="J437" t="s">
        <v>11</v>
      </c>
      <c r="K437" t="b">
        <v>0</v>
      </c>
      <c r="L437">
        <v>10</v>
      </c>
      <c r="M437" t="s">
        <v>21</v>
      </c>
    </row>
    <row r="438" spans="1:13" x14ac:dyDescent="0.35">
      <c r="A438" s="2">
        <v>45174.794861111113</v>
      </c>
      <c r="B438" s="2" t="s">
        <v>1089</v>
      </c>
      <c r="C438" s="2" t="str">
        <f t="shared" si="6"/>
        <v>Tuesday</v>
      </c>
      <c r="D438" s="26">
        <v>0.79166666666666663</v>
      </c>
      <c r="E438" t="s">
        <v>906</v>
      </c>
      <c r="F438" t="s">
        <v>10</v>
      </c>
      <c r="G438">
        <v>29</v>
      </c>
      <c r="H438">
        <v>7</v>
      </c>
      <c r="I438" t="s">
        <v>907</v>
      </c>
      <c r="J438" t="s">
        <v>11</v>
      </c>
      <c r="K438" t="b">
        <v>0</v>
      </c>
      <c r="L438">
        <v>54</v>
      </c>
      <c r="M438" t="s">
        <v>21</v>
      </c>
    </row>
    <row r="439" spans="1:13" x14ac:dyDescent="0.35">
      <c r="A439" s="2">
        <v>45175.134375000001</v>
      </c>
      <c r="B439" s="2" t="s">
        <v>1089</v>
      </c>
      <c r="C439" s="2" t="str">
        <f t="shared" si="6"/>
        <v>Wednesday</v>
      </c>
      <c r="D439" s="26">
        <v>0.125</v>
      </c>
      <c r="E439" t="s">
        <v>908</v>
      </c>
      <c r="F439" t="s">
        <v>10</v>
      </c>
      <c r="G439">
        <v>8</v>
      </c>
      <c r="I439" t="s">
        <v>909</v>
      </c>
      <c r="J439" t="s">
        <v>13</v>
      </c>
      <c r="K439" t="b">
        <v>0</v>
      </c>
      <c r="L439">
        <v>56</v>
      </c>
      <c r="M439" t="s">
        <v>21</v>
      </c>
    </row>
    <row r="440" spans="1:13" x14ac:dyDescent="0.35">
      <c r="A440" s="2">
        <v>45175.417962962965</v>
      </c>
      <c r="B440" s="2" t="s">
        <v>1089</v>
      </c>
      <c r="C440" s="2" t="str">
        <f t="shared" si="6"/>
        <v>Wednesday</v>
      </c>
      <c r="D440" s="26">
        <v>0.41666666666666669</v>
      </c>
      <c r="E440" t="s">
        <v>910</v>
      </c>
      <c r="F440" t="s">
        <v>12</v>
      </c>
      <c r="G440">
        <v>38</v>
      </c>
      <c r="I440" t="s">
        <v>157</v>
      </c>
      <c r="J440" t="s">
        <v>14</v>
      </c>
      <c r="K440" t="b">
        <v>0</v>
      </c>
      <c r="L440">
        <v>21</v>
      </c>
      <c r="M440" t="s">
        <v>21</v>
      </c>
    </row>
    <row r="441" spans="1:13" x14ac:dyDescent="0.35">
      <c r="A441" s="2">
        <v>45175.736273148148</v>
      </c>
      <c r="B441" s="2" t="s">
        <v>1089</v>
      </c>
      <c r="C441" s="2" t="str">
        <f t="shared" si="6"/>
        <v>Wednesday</v>
      </c>
      <c r="D441" s="26">
        <v>0.70833333333333337</v>
      </c>
      <c r="E441" t="s">
        <v>911</v>
      </c>
      <c r="F441" t="s">
        <v>12</v>
      </c>
      <c r="G441">
        <v>20</v>
      </c>
      <c r="I441" t="s">
        <v>912</v>
      </c>
      <c r="J441" t="s">
        <v>13</v>
      </c>
      <c r="K441" t="b">
        <v>0</v>
      </c>
      <c r="L441">
        <v>55</v>
      </c>
      <c r="M441" t="s">
        <v>21</v>
      </c>
    </row>
    <row r="442" spans="1:13" x14ac:dyDescent="0.35">
      <c r="A442" s="2">
        <v>45176.757986111108</v>
      </c>
      <c r="B442" s="2" t="s">
        <v>1089</v>
      </c>
      <c r="C442" s="2" t="str">
        <f t="shared" si="6"/>
        <v>Thursday</v>
      </c>
      <c r="D442" s="26">
        <v>0.75</v>
      </c>
      <c r="E442" t="s">
        <v>913</v>
      </c>
      <c r="F442" t="s">
        <v>10</v>
      </c>
      <c r="G442">
        <v>67</v>
      </c>
      <c r="H442">
        <v>1</v>
      </c>
      <c r="I442" t="s">
        <v>914</v>
      </c>
      <c r="J442" t="s">
        <v>13</v>
      </c>
      <c r="K442" t="b">
        <v>1</v>
      </c>
      <c r="L442">
        <v>16</v>
      </c>
      <c r="M442" t="s">
        <v>21</v>
      </c>
    </row>
    <row r="443" spans="1:13" x14ac:dyDescent="0.35">
      <c r="A443" s="2">
        <v>45176.867986111109</v>
      </c>
      <c r="B443" s="2" t="s">
        <v>1089</v>
      </c>
      <c r="C443" s="2" t="str">
        <f t="shared" si="6"/>
        <v>Thursday</v>
      </c>
      <c r="D443" s="26">
        <v>0.83333333333333337</v>
      </c>
      <c r="E443" t="s">
        <v>915</v>
      </c>
      <c r="F443" t="s">
        <v>10</v>
      </c>
      <c r="G443">
        <v>15</v>
      </c>
      <c r="I443" t="s">
        <v>916</v>
      </c>
      <c r="J443" t="s">
        <v>11</v>
      </c>
      <c r="K443" t="b">
        <v>1</v>
      </c>
      <c r="L443">
        <v>18</v>
      </c>
      <c r="M443" t="s">
        <v>21</v>
      </c>
    </row>
    <row r="444" spans="1:13" x14ac:dyDescent="0.35">
      <c r="A444" s="2">
        <v>45178.696180555555</v>
      </c>
      <c r="B444" s="2" t="s">
        <v>1089</v>
      </c>
      <c r="C444" s="2" t="str">
        <f t="shared" si="6"/>
        <v>Saturday</v>
      </c>
      <c r="D444" s="26">
        <v>0.66666666666666663</v>
      </c>
      <c r="E444" t="s">
        <v>917</v>
      </c>
      <c r="F444" t="s">
        <v>10</v>
      </c>
      <c r="G444">
        <v>31</v>
      </c>
      <c r="I444" t="s">
        <v>295</v>
      </c>
      <c r="J444" t="s">
        <v>15</v>
      </c>
      <c r="K444" t="b">
        <v>0</v>
      </c>
      <c r="L444">
        <v>22</v>
      </c>
      <c r="M444" t="s">
        <v>21</v>
      </c>
    </row>
    <row r="445" spans="1:13" x14ac:dyDescent="0.35">
      <c r="A445" s="2">
        <v>45179.275682870371</v>
      </c>
      <c r="B445" s="2" t="s">
        <v>1089</v>
      </c>
      <c r="C445" s="2" t="str">
        <f t="shared" si="6"/>
        <v>Sunday</v>
      </c>
      <c r="D445" s="26">
        <v>0.25</v>
      </c>
      <c r="E445" t="s">
        <v>918</v>
      </c>
      <c r="F445" t="s">
        <v>12</v>
      </c>
      <c r="G445">
        <v>5</v>
      </c>
      <c r="I445" t="s">
        <v>919</v>
      </c>
      <c r="J445" t="s">
        <v>11</v>
      </c>
      <c r="K445" t="b">
        <v>1</v>
      </c>
      <c r="L445">
        <v>30</v>
      </c>
      <c r="M445" t="s">
        <v>21</v>
      </c>
    </row>
    <row r="446" spans="1:13" x14ac:dyDescent="0.35">
      <c r="A446" s="2">
        <v>45179.513043981482</v>
      </c>
      <c r="B446" s="2" t="s">
        <v>1089</v>
      </c>
      <c r="C446" s="2" t="str">
        <f t="shared" si="6"/>
        <v>Sunday</v>
      </c>
      <c r="D446" s="26">
        <v>0.5</v>
      </c>
      <c r="E446" t="s">
        <v>920</v>
      </c>
      <c r="F446" t="s">
        <v>12</v>
      </c>
      <c r="G446">
        <v>15</v>
      </c>
      <c r="I446" t="s">
        <v>692</v>
      </c>
      <c r="J446" t="s">
        <v>15</v>
      </c>
      <c r="K446" t="b">
        <v>1</v>
      </c>
      <c r="L446">
        <v>55</v>
      </c>
      <c r="M446" t="s">
        <v>21</v>
      </c>
    </row>
    <row r="447" spans="1:13" x14ac:dyDescent="0.35">
      <c r="A447" s="2">
        <v>45179.864884259259</v>
      </c>
      <c r="B447" s="2" t="s">
        <v>1089</v>
      </c>
      <c r="C447" s="2" t="str">
        <f t="shared" si="6"/>
        <v>Sunday</v>
      </c>
      <c r="D447" s="26">
        <v>0.83333333333333337</v>
      </c>
      <c r="E447" t="s">
        <v>921</v>
      </c>
      <c r="F447" t="s">
        <v>10</v>
      </c>
      <c r="G447">
        <v>35</v>
      </c>
      <c r="H447">
        <v>5</v>
      </c>
      <c r="I447" t="s">
        <v>922</v>
      </c>
      <c r="J447" t="s">
        <v>16</v>
      </c>
      <c r="K447" t="b">
        <v>1</v>
      </c>
      <c r="L447">
        <v>16</v>
      </c>
      <c r="M447" t="s">
        <v>21</v>
      </c>
    </row>
    <row r="448" spans="1:13" x14ac:dyDescent="0.35">
      <c r="A448" s="2">
        <v>45181.037106481483</v>
      </c>
      <c r="B448" s="2" t="s">
        <v>1089</v>
      </c>
      <c r="C448" s="2" t="str">
        <f t="shared" si="6"/>
        <v>Tuesday</v>
      </c>
      <c r="D448" s="26">
        <v>0</v>
      </c>
      <c r="E448" t="s">
        <v>923</v>
      </c>
      <c r="F448" t="s">
        <v>10</v>
      </c>
      <c r="G448">
        <v>41</v>
      </c>
      <c r="I448" t="s">
        <v>924</v>
      </c>
      <c r="J448" t="s">
        <v>11</v>
      </c>
      <c r="K448" t="b">
        <v>1</v>
      </c>
      <c r="L448">
        <v>28</v>
      </c>
      <c r="M448" t="s">
        <v>21</v>
      </c>
    </row>
    <row r="449" spans="1:13" x14ac:dyDescent="0.35">
      <c r="A449" s="2">
        <v>45181.136793981481</v>
      </c>
      <c r="B449" s="2" t="s">
        <v>1089</v>
      </c>
      <c r="C449" s="2" t="str">
        <f t="shared" si="6"/>
        <v>Tuesday</v>
      </c>
      <c r="D449" s="26">
        <v>0.125</v>
      </c>
      <c r="E449" t="s">
        <v>925</v>
      </c>
      <c r="F449" t="s">
        <v>10</v>
      </c>
      <c r="G449">
        <v>7</v>
      </c>
      <c r="I449" t="s">
        <v>926</v>
      </c>
      <c r="J449" t="s">
        <v>14</v>
      </c>
      <c r="K449" t="b">
        <v>1</v>
      </c>
      <c r="L449">
        <v>54</v>
      </c>
      <c r="M449" t="s">
        <v>21</v>
      </c>
    </row>
    <row r="450" spans="1:13" x14ac:dyDescent="0.35">
      <c r="A450" s="2">
        <v>45181.36855324074</v>
      </c>
      <c r="B450" s="2" t="s">
        <v>1089</v>
      </c>
      <c r="C450" s="2" t="str">
        <f t="shared" si="6"/>
        <v>Tuesday</v>
      </c>
      <c r="D450" s="26">
        <v>0.33333333333333331</v>
      </c>
      <c r="E450" t="s">
        <v>927</v>
      </c>
      <c r="F450" t="s">
        <v>12</v>
      </c>
      <c r="G450">
        <v>43</v>
      </c>
      <c r="I450" t="s">
        <v>799</v>
      </c>
      <c r="J450" t="s">
        <v>11</v>
      </c>
      <c r="K450" t="b">
        <v>1</v>
      </c>
      <c r="L450">
        <v>25</v>
      </c>
      <c r="M450" t="s">
        <v>21</v>
      </c>
    </row>
    <row r="451" spans="1:13" x14ac:dyDescent="0.35">
      <c r="A451" s="2">
        <v>45185.699745370373</v>
      </c>
      <c r="B451" s="2" t="s">
        <v>1089</v>
      </c>
      <c r="C451" s="2" t="str">
        <f t="shared" ref="C451:C514" si="7">TEXT(A451,"dddd")</f>
        <v>Saturday</v>
      </c>
      <c r="D451" s="26">
        <v>0.66666666666666663</v>
      </c>
      <c r="E451" t="s">
        <v>928</v>
      </c>
      <c r="F451" t="s">
        <v>12</v>
      </c>
      <c r="G451">
        <v>62</v>
      </c>
      <c r="H451">
        <v>5</v>
      </c>
      <c r="I451" t="s">
        <v>929</v>
      </c>
      <c r="J451" t="s">
        <v>13</v>
      </c>
      <c r="K451" t="b">
        <v>0</v>
      </c>
      <c r="L451">
        <v>25</v>
      </c>
      <c r="M451" t="s">
        <v>21</v>
      </c>
    </row>
    <row r="452" spans="1:13" x14ac:dyDescent="0.35">
      <c r="A452" s="2">
        <v>45186.493935185186</v>
      </c>
      <c r="B452" s="2" t="s">
        <v>1089</v>
      </c>
      <c r="C452" s="2" t="str">
        <f t="shared" si="7"/>
        <v>Sunday</v>
      </c>
      <c r="D452" s="26">
        <v>0.45833333333333331</v>
      </c>
      <c r="E452" t="s">
        <v>930</v>
      </c>
      <c r="F452" t="s">
        <v>10</v>
      </c>
      <c r="G452">
        <v>27</v>
      </c>
      <c r="I452" t="s">
        <v>931</v>
      </c>
      <c r="J452" t="s">
        <v>11</v>
      </c>
      <c r="K452" t="b">
        <v>1</v>
      </c>
      <c r="L452">
        <v>27</v>
      </c>
      <c r="M452" t="s">
        <v>21</v>
      </c>
    </row>
    <row r="453" spans="1:13" x14ac:dyDescent="0.35">
      <c r="A453" s="2">
        <v>45186.680138888885</v>
      </c>
      <c r="B453" s="2" t="s">
        <v>1089</v>
      </c>
      <c r="C453" s="2" t="str">
        <f t="shared" si="7"/>
        <v>Sunday</v>
      </c>
      <c r="D453" s="26">
        <v>0.66666666666666663</v>
      </c>
      <c r="E453" t="s">
        <v>932</v>
      </c>
      <c r="F453" t="s">
        <v>12</v>
      </c>
      <c r="G453">
        <v>55</v>
      </c>
      <c r="I453" t="s">
        <v>933</v>
      </c>
      <c r="J453" t="s">
        <v>18</v>
      </c>
      <c r="K453" t="b">
        <v>1</v>
      </c>
      <c r="L453">
        <v>14</v>
      </c>
      <c r="M453" t="s">
        <v>21</v>
      </c>
    </row>
    <row r="454" spans="1:13" x14ac:dyDescent="0.35">
      <c r="A454" s="2">
        <v>45186.68509259259</v>
      </c>
      <c r="B454" s="2" t="s">
        <v>1089</v>
      </c>
      <c r="C454" s="2" t="str">
        <f t="shared" si="7"/>
        <v>Sunday</v>
      </c>
      <c r="D454" s="26">
        <v>0.66666666666666663</v>
      </c>
      <c r="E454" t="s">
        <v>934</v>
      </c>
      <c r="F454" t="s">
        <v>12</v>
      </c>
      <c r="G454">
        <v>75</v>
      </c>
      <c r="I454" t="s">
        <v>935</v>
      </c>
      <c r="J454" t="s">
        <v>14</v>
      </c>
      <c r="K454" t="b">
        <v>1</v>
      </c>
      <c r="L454">
        <v>21</v>
      </c>
      <c r="M454" t="s">
        <v>21</v>
      </c>
    </row>
    <row r="455" spans="1:13" x14ac:dyDescent="0.35">
      <c r="A455" s="2">
        <v>45186.960925925923</v>
      </c>
      <c r="B455" s="2" t="s">
        <v>1089</v>
      </c>
      <c r="C455" s="2" t="str">
        <f t="shared" si="7"/>
        <v>Sunday</v>
      </c>
      <c r="D455" s="26">
        <v>0.95833333333333337</v>
      </c>
      <c r="E455" t="s">
        <v>936</v>
      </c>
      <c r="F455" t="s">
        <v>10</v>
      </c>
      <c r="G455">
        <v>49</v>
      </c>
      <c r="I455" t="s">
        <v>937</v>
      </c>
      <c r="J455" t="s">
        <v>14</v>
      </c>
      <c r="K455" t="b">
        <v>0</v>
      </c>
      <c r="L455">
        <v>60</v>
      </c>
      <c r="M455" t="s">
        <v>21</v>
      </c>
    </row>
    <row r="456" spans="1:13" x14ac:dyDescent="0.35">
      <c r="A456" s="2">
        <v>45187.643368055556</v>
      </c>
      <c r="B456" s="2" t="s">
        <v>1089</v>
      </c>
      <c r="C456" s="2" t="str">
        <f t="shared" si="7"/>
        <v>Monday</v>
      </c>
      <c r="D456" s="26">
        <v>0.625</v>
      </c>
      <c r="E456" t="s">
        <v>938</v>
      </c>
      <c r="F456" t="s">
        <v>10</v>
      </c>
      <c r="G456">
        <v>48</v>
      </c>
      <c r="I456" t="s">
        <v>939</v>
      </c>
      <c r="J456" t="s">
        <v>13</v>
      </c>
      <c r="K456" t="b">
        <v>0</v>
      </c>
      <c r="L456">
        <v>29</v>
      </c>
      <c r="M456" t="s">
        <v>21</v>
      </c>
    </row>
    <row r="457" spans="1:13" x14ac:dyDescent="0.35">
      <c r="A457" s="2">
        <v>45187.663425925923</v>
      </c>
      <c r="B457" s="2" t="s">
        <v>1089</v>
      </c>
      <c r="C457" s="2" t="str">
        <f t="shared" si="7"/>
        <v>Monday</v>
      </c>
      <c r="D457" s="26">
        <v>0.625</v>
      </c>
      <c r="E457" t="s">
        <v>940</v>
      </c>
      <c r="F457" t="s">
        <v>10</v>
      </c>
      <c r="G457">
        <v>76</v>
      </c>
      <c r="H457">
        <v>5</v>
      </c>
      <c r="I457" t="s">
        <v>941</v>
      </c>
      <c r="J457" t="s">
        <v>15</v>
      </c>
      <c r="K457" t="b">
        <v>0</v>
      </c>
      <c r="L457">
        <v>13</v>
      </c>
      <c r="M457" t="s">
        <v>21</v>
      </c>
    </row>
    <row r="458" spans="1:13" x14ac:dyDescent="0.35">
      <c r="A458" s="2">
        <v>45187.742511574077</v>
      </c>
      <c r="B458" s="2" t="s">
        <v>1089</v>
      </c>
      <c r="C458" s="2" t="str">
        <f t="shared" si="7"/>
        <v>Monday</v>
      </c>
      <c r="D458" s="26">
        <v>0.70833333333333337</v>
      </c>
      <c r="E458" t="s">
        <v>942</v>
      </c>
      <c r="F458" t="s">
        <v>10</v>
      </c>
      <c r="G458">
        <v>26</v>
      </c>
      <c r="H458">
        <v>8</v>
      </c>
      <c r="I458" t="s">
        <v>415</v>
      </c>
      <c r="J458" t="s">
        <v>11</v>
      </c>
      <c r="K458" t="b">
        <v>1</v>
      </c>
      <c r="L458">
        <v>38</v>
      </c>
      <c r="M458" t="s">
        <v>21</v>
      </c>
    </row>
    <row r="459" spans="1:13" x14ac:dyDescent="0.35">
      <c r="A459" s="2">
        <v>45188.593124999999</v>
      </c>
      <c r="B459" s="2" t="s">
        <v>1089</v>
      </c>
      <c r="C459" s="2" t="str">
        <f t="shared" si="7"/>
        <v>Tuesday</v>
      </c>
      <c r="D459" s="26">
        <v>0.58333333333333337</v>
      </c>
      <c r="E459" t="s">
        <v>943</v>
      </c>
      <c r="F459" t="s">
        <v>12</v>
      </c>
      <c r="G459">
        <v>17</v>
      </c>
      <c r="I459" t="s">
        <v>944</v>
      </c>
      <c r="J459" t="s">
        <v>11</v>
      </c>
      <c r="K459" t="b">
        <v>1</v>
      </c>
      <c r="L459">
        <v>51</v>
      </c>
      <c r="M459" t="s">
        <v>21</v>
      </c>
    </row>
    <row r="460" spans="1:13" x14ac:dyDescent="0.35">
      <c r="A460" s="2">
        <v>45188.774143518516</v>
      </c>
      <c r="B460" s="2" t="s">
        <v>1089</v>
      </c>
      <c r="C460" s="2" t="str">
        <f t="shared" si="7"/>
        <v>Tuesday</v>
      </c>
      <c r="D460" s="26">
        <v>0.75</v>
      </c>
      <c r="E460" t="s">
        <v>945</v>
      </c>
      <c r="F460" t="s">
        <v>12</v>
      </c>
      <c r="G460">
        <v>55</v>
      </c>
      <c r="I460" t="s">
        <v>946</v>
      </c>
      <c r="J460" t="s">
        <v>18</v>
      </c>
      <c r="K460" t="b">
        <v>0</v>
      </c>
      <c r="L460">
        <v>49</v>
      </c>
      <c r="M460" t="s">
        <v>21</v>
      </c>
    </row>
    <row r="461" spans="1:13" x14ac:dyDescent="0.35">
      <c r="A461" s="2">
        <v>45189.258750000001</v>
      </c>
      <c r="B461" s="2" t="s">
        <v>1089</v>
      </c>
      <c r="C461" s="2" t="str">
        <f t="shared" si="7"/>
        <v>Wednesday</v>
      </c>
      <c r="D461" s="26">
        <v>0.25</v>
      </c>
      <c r="E461" t="s">
        <v>947</v>
      </c>
      <c r="F461" t="s">
        <v>10</v>
      </c>
      <c r="G461">
        <v>39</v>
      </c>
      <c r="H461">
        <v>3</v>
      </c>
      <c r="I461" t="s">
        <v>644</v>
      </c>
      <c r="J461" t="s">
        <v>13</v>
      </c>
      <c r="K461" t="b">
        <v>1</v>
      </c>
      <c r="L461">
        <v>32</v>
      </c>
      <c r="M461" t="s">
        <v>21</v>
      </c>
    </row>
    <row r="462" spans="1:13" x14ac:dyDescent="0.35">
      <c r="A462" s="2">
        <v>45190.091458333336</v>
      </c>
      <c r="B462" s="2" t="s">
        <v>1089</v>
      </c>
      <c r="C462" s="2" t="str">
        <f t="shared" si="7"/>
        <v>Thursday</v>
      </c>
      <c r="D462" s="26">
        <v>8.3333333333333329E-2</v>
      </c>
      <c r="E462" t="s">
        <v>948</v>
      </c>
      <c r="F462" t="s">
        <v>10</v>
      </c>
      <c r="G462">
        <v>15</v>
      </c>
      <c r="I462" t="s">
        <v>949</v>
      </c>
      <c r="J462" t="s">
        <v>18</v>
      </c>
      <c r="K462" t="b">
        <v>0</v>
      </c>
      <c r="L462">
        <v>45</v>
      </c>
      <c r="M462" t="s">
        <v>21</v>
      </c>
    </row>
    <row r="463" spans="1:13" x14ac:dyDescent="0.35">
      <c r="A463" s="2">
        <v>45190.395798611113</v>
      </c>
      <c r="B463" s="2" t="s">
        <v>1089</v>
      </c>
      <c r="C463" s="2" t="str">
        <f t="shared" si="7"/>
        <v>Thursday</v>
      </c>
      <c r="D463" s="26">
        <v>0.375</v>
      </c>
      <c r="E463" t="s">
        <v>950</v>
      </c>
      <c r="F463" t="s">
        <v>10</v>
      </c>
      <c r="G463">
        <v>20</v>
      </c>
      <c r="H463">
        <v>3</v>
      </c>
      <c r="I463" t="s">
        <v>951</v>
      </c>
      <c r="J463" t="s">
        <v>14</v>
      </c>
      <c r="K463" t="b">
        <v>1</v>
      </c>
      <c r="L463">
        <v>57</v>
      </c>
      <c r="M463" t="s">
        <v>21</v>
      </c>
    </row>
    <row r="464" spans="1:13" x14ac:dyDescent="0.35">
      <c r="A464" s="2">
        <v>45190.883935185186</v>
      </c>
      <c r="B464" s="2" t="s">
        <v>1089</v>
      </c>
      <c r="C464" s="2" t="str">
        <f t="shared" si="7"/>
        <v>Thursday</v>
      </c>
      <c r="D464" s="26">
        <v>0.875</v>
      </c>
      <c r="E464" t="s">
        <v>952</v>
      </c>
      <c r="F464" t="s">
        <v>10</v>
      </c>
      <c r="G464">
        <v>68</v>
      </c>
      <c r="I464" t="s">
        <v>581</v>
      </c>
      <c r="J464" t="s">
        <v>15</v>
      </c>
      <c r="K464" t="b">
        <v>0</v>
      </c>
      <c r="L464">
        <v>22</v>
      </c>
      <c r="M464" t="s">
        <v>21</v>
      </c>
    </row>
    <row r="465" spans="1:13" x14ac:dyDescent="0.35">
      <c r="A465" s="2">
        <v>45191.40042824074</v>
      </c>
      <c r="B465" s="2" t="s">
        <v>1089</v>
      </c>
      <c r="C465" s="2" t="str">
        <f t="shared" si="7"/>
        <v>Friday</v>
      </c>
      <c r="D465" s="26">
        <v>0.375</v>
      </c>
      <c r="E465" t="s">
        <v>953</v>
      </c>
      <c r="F465" t="s">
        <v>10</v>
      </c>
      <c r="G465">
        <v>59</v>
      </c>
      <c r="I465" t="s">
        <v>439</v>
      </c>
      <c r="J465" t="s">
        <v>13</v>
      </c>
      <c r="K465" t="b">
        <v>1</v>
      </c>
      <c r="L465">
        <v>13</v>
      </c>
      <c r="M465" t="s">
        <v>21</v>
      </c>
    </row>
    <row r="466" spans="1:13" x14ac:dyDescent="0.35">
      <c r="A466" s="2">
        <v>45191.46197916667</v>
      </c>
      <c r="B466" s="2" t="s">
        <v>1089</v>
      </c>
      <c r="C466" s="2" t="str">
        <f t="shared" si="7"/>
        <v>Friday</v>
      </c>
      <c r="D466" s="26">
        <v>0.45833333333333331</v>
      </c>
      <c r="E466" t="s">
        <v>954</v>
      </c>
      <c r="F466" t="s">
        <v>10</v>
      </c>
      <c r="G466">
        <v>22</v>
      </c>
      <c r="I466" t="s">
        <v>225</v>
      </c>
      <c r="J466" t="s">
        <v>16</v>
      </c>
      <c r="K466" t="b">
        <v>1</v>
      </c>
      <c r="L466">
        <v>20</v>
      </c>
      <c r="M466" t="s">
        <v>21</v>
      </c>
    </row>
    <row r="467" spans="1:13" x14ac:dyDescent="0.35">
      <c r="A467" s="2">
        <v>45192.790972222225</v>
      </c>
      <c r="B467" s="2" t="s">
        <v>1089</v>
      </c>
      <c r="C467" s="2" t="str">
        <f t="shared" si="7"/>
        <v>Saturday</v>
      </c>
      <c r="D467" s="26">
        <v>0.75</v>
      </c>
      <c r="E467" t="s">
        <v>955</v>
      </c>
      <c r="F467" t="s">
        <v>12</v>
      </c>
      <c r="G467">
        <v>37</v>
      </c>
      <c r="I467" t="s">
        <v>956</v>
      </c>
      <c r="J467" t="s">
        <v>14</v>
      </c>
      <c r="K467" t="b">
        <v>0</v>
      </c>
      <c r="L467">
        <v>59</v>
      </c>
      <c r="M467" t="s">
        <v>21</v>
      </c>
    </row>
    <row r="468" spans="1:13" x14ac:dyDescent="0.35">
      <c r="A468" s="2">
        <v>45192.906851851854</v>
      </c>
      <c r="B468" s="2" t="s">
        <v>1089</v>
      </c>
      <c r="C468" s="2" t="str">
        <f t="shared" si="7"/>
        <v>Saturday</v>
      </c>
      <c r="D468" s="26">
        <v>0.875</v>
      </c>
      <c r="E468" t="s">
        <v>957</v>
      </c>
      <c r="F468" t="s">
        <v>10</v>
      </c>
      <c r="G468">
        <v>55</v>
      </c>
      <c r="I468" t="s">
        <v>958</v>
      </c>
      <c r="J468" t="s">
        <v>11</v>
      </c>
      <c r="K468" t="b">
        <v>1</v>
      </c>
      <c r="L468">
        <v>12</v>
      </c>
      <c r="M468" t="s">
        <v>21</v>
      </c>
    </row>
    <row r="469" spans="1:13" x14ac:dyDescent="0.35">
      <c r="A469" s="2">
        <v>45193.037407407406</v>
      </c>
      <c r="B469" s="2" t="s">
        <v>1089</v>
      </c>
      <c r="C469" s="2" t="str">
        <f t="shared" si="7"/>
        <v>Sunday</v>
      </c>
      <c r="D469" s="26">
        <v>0</v>
      </c>
      <c r="E469" t="s">
        <v>959</v>
      </c>
      <c r="F469" t="s">
        <v>10</v>
      </c>
      <c r="G469">
        <v>69</v>
      </c>
      <c r="H469">
        <v>6</v>
      </c>
      <c r="I469" t="s">
        <v>960</v>
      </c>
      <c r="J469" t="s">
        <v>11</v>
      </c>
      <c r="K469" t="b">
        <v>0</v>
      </c>
      <c r="L469">
        <v>28</v>
      </c>
      <c r="M469" t="s">
        <v>21</v>
      </c>
    </row>
    <row r="470" spans="1:13" x14ac:dyDescent="0.35">
      <c r="A470" s="2">
        <v>45194.888599537036</v>
      </c>
      <c r="B470" s="2" t="s">
        <v>1089</v>
      </c>
      <c r="C470" s="2" t="str">
        <f t="shared" si="7"/>
        <v>Monday</v>
      </c>
      <c r="D470" s="26">
        <v>0.875</v>
      </c>
      <c r="E470" t="s">
        <v>961</v>
      </c>
      <c r="F470" t="s">
        <v>12</v>
      </c>
      <c r="G470">
        <v>67</v>
      </c>
      <c r="I470" t="s">
        <v>962</v>
      </c>
      <c r="J470" t="s">
        <v>16</v>
      </c>
      <c r="K470" t="b">
        <v>1</v>
      </c>
      <c r="L470">
        <v>33</v>
      </c>
      <c r="M470" t="s">
        <v>21</v>
      </c>
    </row>
    <row r="471" spans="1:13" x14ac:dyDescent="0.35">
      <c r="A471" s="2">
        <v>45194.996770833335</v>
      </c>
      <c r="B471" s="2" t="s">
        <v>1089</v>
      </c>
      <c r="C471" s="2" t="str">
        <f t="shared" si="7"/>
        <v>Monday</v>
      </c>
      <c r="D471" s="26">
        <v>0.95833333333333337</v>
      </c>
      <c r="E471" t="s">
        <v>963</v>
      </c>
      <c r="F471" t="s">
        <v>10</v>
      </c>
      <c r="G471">
        <v>14</v>
      </c>
      <c r="I471" t="s">
        <v>964</v>
      </c>
      <c r="J471" t="s">
        <v>17</v>
      </c>
      <c r="K471" t="b">
        <v>1</v>
      </c>
      <c r="L471">
        <v>52</v>
      </c>
      <c r="M471" t="s">
        <v>21</v>
      </c>
    </row>
    <row r="472" spans="1:13" x14ac:dyDescent="0.35">
      <c r="A472" s="2">
        <v>45195.049039351848</v>
      </c>
      <c r="B472" s="2" t="s">
        <v>1089</v>
      </c>
      <c r="C472" s="2" t="str">
        <f t="shared" si="7"/>
        <v>Tuesday</v>
      </c>
      <c r="D472" s="26">
        <v>4.1666666666666664E-2</v>
      </c>
      <c r="E472" t="s">
        <v>965</v>
      </c>
      <c r="F472" t="s">
        <v>12</v>
      </c>
      <c r="G472">
        <v>2</v>
      </c>
      <c r="I472" t="s">
        <v>966</v>
      </c>
      <c r="J472" t="s">
        <v>13</v>
      </c>
      <c r="K472" t="b">
        <v>0</v>
      </c>
      <c r="L472">
        <v>14</v>
      </c>
      <c r="M472" t="s">
        <v>21</v>
      </c>
    </row>
    <row r="473" spans="1:13" x14ac:dyDescent="0.35">
      <c r="A473" s="2">
        <v>45195.417708333334</v>
      </c>
      <c r="B473" s="2" t="s">
        <v>1089</v>
      </c>
      <c r="C473" s="2" t="str">
        <f t="shared" si="7"/>
        <v>Tuesday</v>
      </c>
      <c r="D473" s="26">
        <v>0.41666666666666669</v>
      </c>
      <c r="E473" t="s">
        <v>967</v>
      </c>
      <c r="F473" t="s">
        <v>10</v>
      </c>
      <c r="G473">
        <v>39</v>
      </c>
      <c r="H473">
        <v>2</v>
      </c>
      <c r="I473" t="s">
        <v>968</v>
      </c>
      <c r="J473" t="s">
        <v>16</v>
      </c>
      <c r="K473" t="b">
        <v>1</v>
      </c>
      <c r="L473">
        <v>21</v>
      </c>
      <c r="M473" t="s">
        <v>21</v>
      </c>
    </row>
    <row r="474" spans="1:13" x14ac:dyDescent="0.35">
      <c r="A474" s="2">
        <v>45197.072094907409</v>
      </c>
      <c r="B474" s="2" t="s">
        <v>1089</v>
      </c>
      <c r="C474" s="2" t="str">
        <f t="shared" si="7"/>
        <v>Thursday</v>
      </c>
      <c r="D474" s="26">
        <v>4.1666666666666664E-2</v>
      </c>
      <c r="E474" t="s">
        <v>969</v>
      </c>
      <c r="F474" t="s">
        <v>10</v>
      </c>
      <c r="G474">
        <v>79</v>
      </c>
      <c r="I474" t="s">
        <v>970</v>
      </c>
      <c r="J474" t="s">
        <v>14</v>
      </c>
      <c r="K474" t="b">
        <v>1</v>
      </c>
      <c r="L474">
        <v>27</v>
      </c>
      <c r="M474" t="s">
        <v>21</v>
      </c>
    </row>
    <row r="475" spans="1:13" x14ac:dyDescent="0.35">
      <c r="A475" s="2">
        <v>45197.697870370372</v>
      </c>
      <c r="B475" s="2" t="s">
        <v>1089</v>
      </c>
      <c r="C475" s="2" t="str">
        <f t="shared" si="7"/>
        <v>Thursday</v>
      </c>
      <c r="D475" s="26">
        <v>0.66666666666666663</v>
      </c>
      <c r="E475" t="s">
        <v>971</v>
      </c>
      <c r="F475" t="s">
        <v>10</v>
      </c>
      <c r="G475">
        <v>32</v>
      </c>
      <c r="H475">
        <v>2</v>
      </c>
      <c r="I475" t="s">
        <v>972</v>
      </c>
      <c r="J475" t="s">
        <v>13</v>
      </c>
      <c r="K475" t="b">
        <v>1</v>
      </c>
      <c r="L475">
        <v>22</v>
      </c>
      <c r="M475" t="s">
        <v>21</v>
      </c>
    </row>
    <row r="476" spans="1:13" x14ac:dyDescent="0.35">
      <c r="A476" s="2">
        <v>45198.171249999999</v>
      </c>
      <c r="B476" s="2" t="s">
        <v>1089</v>
      </c>
      <c r="C476" s="2" t="str">
        <f t="shared" si="7"/>
        <v>Friday</v>
      </c>
      <c r="D476" s="26">
        <v>0.16666666666666666</v>
      </c>
      <c r="E476" t="s">
        <v>973</v>
      </c>
      <c r="F476" t="s">
        <v>10</v>
      </c>
      <c r="G476">
        <v>7</v>
      </c>
      <c r="H476">
        <v>9</v>
      </c>
      <c r="I476" t="s">
        <v>974</v>
      </c>
      <c r="J476" t="s">
        <v>18</v>
      </c>
      <c r="K476" t="b">
        <v>1</v>
      </c>
      <c r="L476">
        <v>45</v>
      </c>
      <c r="M476" t="s">
        <v>21</v>
      </c>
    </row>
    <row r="477" spans="1:13" x14ac:dyDescent="0.35">
      <c r="A477" s="2">
        <v>45199.147037037037</v>
      </c>
      <c r="B477" s="2" t="s">
        <v>1089</v>
      </c>
      <c r="C477" s="2" t="str">
        <f t="shared" si="7"/>
        <v>Saturday</v>
      </c>
      <c r="D477" s="26">
        <v>0.125</v>
      </c>
      <c r="E477" t="s">
        <v>975</v>
      </c>
      <c r="F477" t="s">
        <v>10</v>
      </c>
      <c r="G477">
        <v>79</v>
      </c>
      <c r="H477">
        <v>2</v>
      </c>
      <c r="I477" t="s">
        <v>976</v>
      </c>
      <c r="J477" t="s">
        <v>13</v>
      </c>
      <c r="K477" t="b">
        <v>0</v>
      </c>
      <c r="L477">
        <v>21</v>
      </c>
      <c r="M477" t="s">
        <v>21</v>
      </c>
    </row>
    <row r="478" spans="1:13" x14ac:dyDescent="0.35">
      <c r="A478" s="2">
        <v>45199.830416666664</v>
      </c>
      <c r="B478" s="2" t="s">
        <v>1089</v>
      </c>
      <c r="C478" s="2" t="str">
        <f t="shared" si="7"/>
        <v>Saturday</v>
      </c>
      <c r="D478" s="26">
        <v>0.79166666666666663</v>
      </c>
      <c r="E478" t="s">
        <v>977</v>
      </c>
      <c r="F478" t="s">
        <v>12</v>
      </c>
      <c r="G478">
        <v>2</v>
      </c>
      <c r="I478" t="s">
        <v>978</v>
      </c>
      <c r="J478" t="s">
        <v>11</v>
      </c>
      <c r="K478" t="b">
        <v>0</v>
      </c>
      <c r="L478">
        <v>23</v>
      </c>
      <c r="M478" t="s">
        <v>21</v>
      </c>
    </row>
    <row r="479" spans="1:13" x14ac:dyDescent="0.35">
      <c r="A479" s="2">
        <v>45200.372314814813</v>
      </c>
      <c r="B479" s="2" t="s">
        <v>1090</v>
      </c>
      <c r="C479" s="2" t="str">
        <f t="shared" si="7"/>
        <v>Sunday</v>
      </c>
      <c r="D479" s="26">
        <v>0.33333333333333331</v>
      </c>
      <c r="E479" t="s">
        <v>979</v>
      </c>
      <c r="F479" t="s">
        <v>12</v>
      </c>
      <c r="G479">
        <v>33</v>
      </c>
      <c r="I479" t="s">
        <v>980</v>
      </c>
      <c r="J479" t="s">
        <v>17</v>
      </c>
      <c r="K479" t="b">
        <v>0</v>
      </c>
      <c r="L479">
        <v>17</v>
      </c>
      <c r="M479" t="s">
        <v>21</v>
      </c>
    </row>
    <row r="480" spans="1:13" x14ac:dyDescent="0.35">
      <c r="A480" s="2">
        <v>45201.349120370367</v>
      </c>
      <c r="B480" s="2" t="s">
        <v>1090</v>
      </c>
      <c r="C480" s="2" t="str">
        <f t="shared" si="7"/>
        <v>Monday</v>
      </c>
      <c r="D480" s="26">
        <v>0.33333333333333331</v>
      </c>
      <c r="E480" t="s">
        <v>981</v>
      </c>
      <c r="F480" t="s">
        <v>10</v>
      </c>
      <c r="G480">
        <v>2</v>
      </c>
      <c r="H480">
        <v>8</v>
      </c>
      <c r="I480" t="s">
        <v>982</v>
      </c>
      <c r="J480" t="s">
        <v>13</v>
      </c>
      <c r="K480" t="b">
        <v>1</v>
      </c>
      <c r="L480">
        <v>16</v>
      </c>
      <c r="M480" t="s">
        <v>21</v>
      </c>
    </row>
    <row r="481" spans="1:13" x14ac:dyDescent="0.35">
      <c r="A481" s="2">
        <v>45202.91002314815</v>
      </c>
      <c r="B481" s="2" t="s">
        <v>1090</v>
      </c>
      <c r="C481" s="2" t="str">
        <f t="shared" si="7"/>
        <v>Tuesday</v>
      </c>
      <c r="D481" s="26">
        <v>0.875</v>
      </c>
      <c r="E481" t="s">
        <v>983</v>
      </c>
      <c r="F481" t="s">
        <v>12</v>
      </c>
      <c r="G481">
        <v>67</v>
      </c>
      <c r="I481" t="s">
        <v>984</v>
      </c>
      <c r="J481" t="s">
        <v>13</v>
      </c>
      <c r="K481" t="b">
        <v>0</v>
      </c>
      <c r="L481">
        <v>53</v>
      </c>
      <c r="M481" t="s">
        <v>21</v>
      </c>
    </row>
    <row r="482" spans="1:13" x14ac:dyDescent="0.35">
      <c r="A482" s="2">
        <v>45202.98646990741</v>
      </c>
      <c r="B482" s="2" t="s">
        <v>1090</v>
      </c>
      <c r="C482" s="2" t="str">
        <f t="shared" si="7"/>
        <v>Tuesday</v>
      </c>
      <c r="D482" s="26">
        <v>0.95833333333333337</v>
      </c>
      <c r="E482" t="s">
        <v>985</v>
      </c>
      <c r="F482" t="s">
        <v>12</v>
      </c>
      <c r="G482">
        <v>7</v>
      </c>
      <c r="I482" t="s">
        <v>986</v>
      </c>
      <c r="J482" t="s">
        <v>13</v>
      </c>
      <c r="K482" t="b">
        <v>1</v>
      </c>
      <c r="L482">
        <v>32</v>
      </c>
      <c r="M482" t="s">
        <v>21</v>
      </c>
    </row>
    <row r="483" spans="1:13" x14ac:dyDescent="0.35">
      <c r="A483" s="2">
        <v>45203.091539351852</v>
      </c>
      <c r="B483" s="2" t="s">
        <v>1090</v>
      </c>
      <c r="C483" s="2" t="str">
        <f t="shared" si="7"/>
        <v>Wednesday</v>
      </c>
      <c r="D483" s="26">
        <v>8.3333333333333329E-2</v>
      </c>
      <c r="E483" t="s">
        <v>987</v>
      </c>
      <c r="F483" t="s">
        <v>12</v>
      </c>
      <c r="G483">
        <v>24</v>
      </c>
      <c r="H483">
        <v>10</v>
      </c>
      <c r="I483" t="s">
        <v>988</v>
      </c>
      <c r="J483" t="s">
        <v>13</v>
      </c>
      <c r="K483" t="b">
        <v>0</v>
      </c>
      <c r="L483">
        <v>31</v>
      </c>
      <c r="M483" t="s">
        <v>21</v>
      </c>
    </row>
    <row r="484" spans="1:13" x14ac:dyDescent="0.35">
      <c r="A484" s="2">
        <v>45203.134432870371</v>
      </c>
      <c r="B484" s="2" t="s">
        <v>1090</v>
      </c>
      <c r="C484" s="2" t="str">
        <f t="shared" si="7"/>
        <v>Wednesday</v>
      </c>
      <c r="D484" s="26">
        <v>0.125</v>
      </c>
      <c r="E484" t="s">
        <v>989</v>
      </c>
      <c r="F484" t="s">
        <v>10</v>
      </c>
      <c r="G484">
        <v>71</v>
      </c>
      <c r="H484">
        <v>8</v>
      </c>
      <c r="I484" t="s">
        <v>990</v>
      </c>
      <c r="J484" t="s">
        <v>11</v>
      </c>
      <c r="K484" t="b">
        <v>0</v>
      </c>
      <c r="L484">
        <v>38</v>
      </c>
      <c r="M484" t="s">
        <v>21</v>
      </c>
    </row>
    <row r="485" spans="1:13" x14ac:dyDescent="0.35">
      <c r="A485" s="2">
        <v>45203.57849537037</v>
      </c>
      <c r="B485" s="2" t="s">
        <v>1090</v>
      </c>
      <c r="C485" s="2" t="str">
        <f t="shared" si="7"/>
        <v>Wednesday</v>
      </c>
      <c r="D485" s="26">
        <v>0.54166666666666663</v>
      </c>
      <c r="E485" t="s">
        <v>991</v>
      </c>
      <c r="F485" t="s">
        <v>12</v>
      </c>
      <c r="G485">
        <v>18</v>
      </c>
      <c r="I485" t="s">
        <v>992</v>
      </c>
      <c r="J485" t="s">
        <v>13</v>
      </c>
      <c r="K485" t="b">
        <v>1</v>
      </c>
      <c r="L485">
        <v>27</v>
      </c>
      <c r="M485" t="s">
        <v>21</v>
      </c>
    </row>
    <row r="486" spans="1:13" x14ac:dyDescent="0.35">
      <c r="A486" s="2">
        <v>45203.712685185186</v>
      </c>
      <c r="B486" s="2" t="s">
        <v>1090</v>
      </c>
      <c r="C486" s="2" t="str">
        <f t="shared" si="7"/>
        <v>Wednesday</v>
      </c>
      <c r="D486" s="26">
        <v>0.70833333333333337</v>
      </c>
      <c r="E486" t="s">
        <v>993</v>
      </c>
      <c r="F486" t="s">
        <v>12</v>
      </c>
      <c r="G486">
        <v>1</v>
      </c>
      <c r="I486" t="s">
        <v>994</v>
      </c>
      <c r="J486" t="s">
        <v>13</v>
      </c>
      <c r="K486" t="b">
        <v>1</v>
      </c>
      <c r="L486">
        <v>22</v>
      </c>
      <c r="M486" t="s">
        <v>21</v>
      </c>
    </row>
    <row r="487" spans="1:13" x14ac:dyDescent="0.35">
      <c r="A487" s="2">
        <v>45204.607685185183</v>
      </c>
      <c r="B487" s="2" t="s">
        <v>1090</v>
      </c>
      <c r="C487" s="2" t="str">
        <f t="shared" si="7"/>
        <v>Thursday</v>
      </c>
      <c r="D487" s="26">
        <v>0.58333333333333337</v>
      </c>
      <c r="E487" t="s">
        <v>995</v>
      </c>
      <c r="F487" t="s">
        <v>12</v>
      </c>
      <c r="G487">
        <v>45</v>
      </c>
      <c r="I487" t="s">
        <v>93</v>
      </c>
      <c r="J487" t="s">
        <v>13</v>
      </c>
      <c r="K487" t="b">
        <v>1</v>
      </c>
      <c r="L487">
        <v>44</v>
      </c>
      <c r="M487" t="s">
        <v>21</v>
      </c>
    </row>
    <row r="488" spans="1:13" x14ac:dyDescent="0.35">
      <c r="A488" s="2">
        <v>45206.058622685188</v>
      </c>
      <c r="B488" s="2" t="s">
        <v>1090</v>
      </c>
      <c r="C488" s="2" t="str">
        <f t="shared" si="7"/>
        <v>Saturday</v>
      </c>
      <c r="D488" s="26">
        <v>4.1666666666666664E-2</v>
      </c>
      <c r="E488" t="s">
        <v>996</v>
      </c>
      <c r="F488" t="s">
        <v>10</v>
      </c>
      <c r="G488">
        <v>15</v>
      </c>
      <c r="I488" t="s">
        <v>831</v>
      </c>
      <c r="J488" t="s">
        <v>16</v>
      </c>
      <c r="K488" t="b">
        <v>0</v>
      </c>
      <c r="L488">
        <v>35</v>
      </c>
      <c r="M488" t="s">
        <v>21</v>
      </c>
    </row>
    <row r="489" spans="1:13" x14ac:dyDescent="0.35">
      <c r="A489" s="2">
        <v>45206.338009259256</v>
      </c>
      <c r="B489" s="2" t="s">
        <v>1090</v>
      </c>
      <c r="C489" s="2" t="str">
        <f t="shared" si="7"/>
        <v>Saturday</v>
      </c>
      <c r="D489" s="26">
        <v>0.33333333333333331</v>
      </c>
      <c r="E489" t="s">
        <v>997</v>
      </c>
      <c r="F489" t="s">
        <v>10</v>
      </c>
      <c r="G489">
        <v>15</v>
      </c>
      <c r="I489" t="s">
        <v>998</v>
      </c>
      <c r="J489" t="s">
        <v>13</v>
      </c>
      <c r="K489" t="b">
        <v>0</v>
      </c>
      <c r="L489">
        <v>36</v>
      </c>
      <c r="M489" t="s">
        <v>21</v>
      </c>
    </row>
    <row r="490" spans="1:13" x14ac:dyDescent="0.35">
      <c r="A490" s="2">
        <v>45207.9297337963</v>
      </c>
      <c r="B490" s="2" t="s">
        <v>1090</v>
      </c>
      <c r="C490" s="2" t="str">
        <f t="shared" si="7"/>
        <v>Sunday</v>
      </c>
      <c r="D490" s="26">
        <v>0.91666666666666663</v>
      </c>
      <c r="E490" t="s">
        <v>999</v>
      </c>
      <c r="F490" t="s">
        <v>12</v>
      </c>
      <c r="G490">
        <v>38</v>
      </c>
      <c r="I490" t="s">
        <v>1000</v>
      </c>
      <c r="J490" t="s">
        <v>11</v>
      </c>
      <c r="K490" t="b">
        <v>0</v>
      </c>
      <c r="L490">
        <v>35</v>
      </c>
      <c r="M490" t="s">
        <v>21</v>
      </c>
    </row>
    <row r="491" spans="1:13" x14ac:dyDescent="0.35">
      <c r="A491" s="2">
        <v>45208.030717592592</v>
      </c>
      <c r="B491" s="2" t="s">
        <v>1090</v>
      </c>
      <c r="C491" s="2" t="str">
        <f t="shared" si="7"/>
        <v>Monday</v>
      </c>
      <c r="D491" s="26">
        <v>0</v>
      </c>
      <c r="E491" t="s">
        <v>1001</v>
      </c>
      <c r="F491" t="s">
        <v>12</v>
      </c>
      <c r="G491">
        <v>23</v>
      </c>
      <c r="I491" t="s">
        <v>1002</v>
      </c>
      <c r="J491" t="s">
        <v>11</v>
      </c>
      <c r="K491" t="b">
        <v>0</v>
      </c>
      <c r="L491">
        <v>33</v>
      </c>
      <c r="M491" t="s">
        <v>21</v>
      </c>
    </row>
    <row r="492" spans="1:13" x14ac:dyDescent="0.35">
      <c r="A492" s="2">
        <v>45208.068460648145</v>
      </c>
      <c r="B492" s="2" t="s">
        <v>1090</v>
      </c>
      <c r="C492" s="2" t="str">
        <f t="shared" si="7"/>
        <v>Monday</v>
      </c>
      <c r="D492" s="26">
        <v>4.1666666666666664E-2</v>
      </c>
      <c r="E492" t="s">
        <v>1003</v>
      </c>
      <c r="F492" t="s">
        <v>12</v>
      </c>
      <c r="G492">
        <v>77</v>
      </c>
      <c r="I492" t="s">
        <v>1004</v>
      </c>
      <c r="J492" t="s">
        <v>15</v>
      </c>
      <c r="K492" t="b">
        <v>0</v>
      </c>
      <c r="L492">
        <v>26</v>
      </c>
      <c r="M492" t="s">
        <v>21</v>
      </c>
    </row>
    <row r="493" spans="1:13" x14ac:dyDescent="0.35">
      <c r="A493" s="2">
        <v>45208.115567129629</v>
      </c>
      <c r="B493" s="2" t="s">
        <v>1090</v>
      </c>
      <c r="C493" s="2" t="str">
        <f t="shared" si="7"/>
        <v>Monday</v>
      </c>
      <c r="D493" s="26">
        <v>8.3333333333333329E-2</v>
      </c>
      <c r="E493" t="s">
        <v>1005</v>
      </c>
      <c r="F493" t="s">
        <v>12</v>
      </c>
      <c r="G493">
        <v>65</v>
      </c>
      <c r="I493" t="s">
        <v>1006</v>
      </c>
      <c r="J493" t="s">
        <v>16</v>
      </c>
      <c r="K493" t="b">
        <v>0</v>
      </c>
      <c r="L493">
        <v>54</v>
      </c>
      <c r="M493" t="s">
        <v>21</v>
      </c>
    </row>
    <row r="494" spans="1:13" x14ac:dyDescent="0.35">
      <c r="A494" s="2">
        <v>45208.329444444447</v>
      </c>
      <c r="B494" s="2" t="s">
        <v>1090</v>
      </c>
      <c r="C494" s="2" t="str">
        <f t="shared" si="7"/>
        <v>Monday</v>
      </c>
      <c r="D494" s="26">
        <v>0.29166666666666669</v>
      </c>
      <c r="E494" t="s">
        <v>1007</v>
      </c>
      <c r="F494" t="s">
        <v>10</v>
      </c>
      <c r="G494">
        <v>75</v>
      </c>
      <c r="I494" t="s">
        <v>1008</v>
      </c>
      <c r="J494" t="s">
        <v>11</v>
      </c>
      <c r="K494" t="b">
        <v>0</v>
      </c>
      <c r="L494">
        <v>51</v>
      </c>
      <c r="M494" t="s">
        <v>21</v>
      </c>
    </row>
    <row r="495" spans="1:13" x14ac:dyDescent="0.35">
      <c r="A495" s="2">
        <v>45210.349479166667</v>
      </c>
      <c r="B495" s="2" t="s">
        <v>1090</v>
      </c>
      <c r="C495" s="2" t="str">
        <f t="shared" si="7"/>
        <v>Wednesday</v>
      </c>
      <c r="D495" s="26">
        <v>0.33333333333333331</v>
      </c>
      <c r="E495" t="s">
        <v>1009</v>
      </c>
      <c r="F495" t="s">
        <v>10</v>
      </c>
      <c r="G495">
        <v>57</v>
      </c>
      <c r="H495">
        <v>10</v>
      </c>
      <c r="I495" t="s">
        <v>1010</v>
      </c>
      <c r="J495" t="s">
        <v>13</v>
      </c>
      <c r="K495" t="b">
        <v>0</v>
      </c>
      <c r="L495">
        <v>15</v>
      </c>
      <c r="M495" t="s">
        <v>21</v>
      </c>
    </row>
    <row r="496" spans="1:13" x14ac:dyDescent="0.35">
      <c r="A496" s="2">
        <v>45210.410277777781</v>
      </c>
      <c r="B496" s="2" t="s">
        <v>1090</v>
      </c>
      <c r="C496" s="2" t="str">
        <f t="shared" si="7"/>
        <v>Wednesday</v>
      </c>
      <c r="D496" s="26">
        <v>0.375</v>
      </c>
      <c r="E496" t="s">
        <v>1011</v>
      </c>
      <c r="F496" t="s">
        <v>10</v>
      </c>
      <c r="G496">
        <v>52</v>
      </c>
      <c r="I496" t="s">
        <v>1012</v>
      </c>
      <c r="J496" t="s">
        <v>11</v>
      </c>
      <c r="K496" t="b">
        <v>0</v>
      </c>
      <c r="L496">
        <v>38</v>
      </c>
      <c r="M496" t="s">
        <v>21</v>
      </c>
    </row>
    <row r="497" spans="1:13" x14ac:dyDescent="0.35">
      <c r="A497" s="2">
        <v>45210.523298611108</v>
      </c>
      <c r="B497" s="2" t="s">
        <v>1090</v>
      </c>
      <c r="C497" s="2" t="str">
        <f t="shared" si="7"/>
        <v>Wednesday</v>
      </c>
      <c r="D497" s="26">
        <v>0.5</v>
      </c>
      <c r="E497" t="s">
        <v>1013</v>
      </c>
      <c r="F497" t="s">
        <v>12</v>
      </c>
      <c r="G497">
        <v>35</v>
      </c>
      <c r="I497" t="s">
        <v>1014</v>
      </c>
      <c r="J497" t="s">
        <v>15</v>
      </c>
      <c r="K497" t="b">
        <v>1</v>
      </c>
      <c r="L497">
        <v>27</v>
      </c>
      <c r="M497" t="s">
        <v>21</v>
      </c>
    </row>
    <row r="498" spans="1:13" x14ac:dyDescent="0.35">
      <c r="A498" s="2">
        <v>45210.787291666667</v>
      </c>
      <c r="B498" s="2" t="s">
        <v>1090</v>
      </c>
      <c r="C498" s="2" t="str">
        <f t="shared" si="7"/>
        <v>Wednesday</v>
      </c>
      <c r="D498" s="26">
        <v>0.75</v>
      </c>
      <c r="E498" t="s">
        <v>1015</v>
      </c>
      <c r="F498" t="s">
        <v>10</v>
      </c>
      <c r="G498">
        <v>67</v>
      </c>
      <c r="I498" t="s">
        <v>1016</v>
      </c>
      <c r="J498" t="s">
        <v>13</v>
      </c>
      <c r="K498" t="b">
        <v>1</v>
      </c>
      <c r="L498">
        <v>20</v>
      </c>
      <c r="M498" t="s">
        <v>21</v>
      </c>
    </row>
    <row r="499" spans="1:13" x14ac:dyDescent="0.35">
      <c r="A499" s="2">
        <v>45211.444016203706</v>
      </c>
      <c r="B499" s="2" t="s">
        <v>1090</v>
      </c>
      <c r="C499" s="2" t="str">
        <f t="shared" si="7"/>
        <v>Thursday</v>
      </c>
      <c r="D499" s="26">
        <v>0.41666666666666669</v>
      </c>
      <c r="E499" t="s">
        <v>1017</v>
      </c>
      <c r="F499" t="s">
        <v>10</v>
      </c>
      <c r="G499">
        <v>60</v>
      </c>
      <c r="I499" t="s">
        <v>1018</v>
      </c>
      <c r="J499" t="s">
        <v>13</v>
      </c>
      <c r="K499" t="b">
        <v>0</v>
      </c>
      <c r="L499">
        <v>12</v>
      </c>
      <c r="M499" t="s">
        <v>21</v>
      </c>
    </row>
    <row r="500" spans="1:13" x14ac:dyDescent="0.35">
      <c r="A500" s="2">
        <v>45211.53701388889</v>
      </c>
      <c r="B500" s="2" t="s">
        <v>1090</v>
      </c>
      <c r="C500" s="2" t="str">
        <f t="shared" si="7"/>
        <v>Thursday</v>
      </c>
      <c r="D500" s="26">
        <v>0.5</v>
      </c>
      <c r="E500" t="s">
        <v>1019</v>
      </c>
      <c r="F500" t="s">
        <v>12</v>
      </c>
      <c r="G500">
        <v>46</v>
      </c>
      <c r="H500">
        <v>3</v>
      </c>
      <c r="I500" t="s">
        <v>645</v>
      </c>
      <c r="J500" t="s">
        <v>15</v>
      </c>
      <c r="K500" t="b">
        <v>1</v>
      </c>
      <c r="L500">
        <v>38</v>
      </c>
      <c r="M500" t="s">
        <v>21</v>
      </c>
    </row>
    <row r="501" spans="1:13" x14ac:dyDescent="0.35">
      <c r="A501" s="2">
        <v>45211.678229166668</v>
      </c>
      <c r="B501" s="2" t="s">
        <v>1090</v>
      </c>
      <c r="C501" s="2" t="str">
        <f t="shared" si="7"/>
        <v>Thursday</v>
      </c>
      <c r="D501" s="26">
        <v>0.66666666666666663</v>
      </c>
      <c r="E501" t="s">
        <v>1020</v>
      </c>
      <c r="F501" t="s">
        <v>12</v>
      </c>
      <c r="G501">
        <v>68</v>
      </c>
      <c r="I501" t="s">
        <v>1021</v>
      </c>
      <c r="J501" t="s">
        <v>11</v>
      </c>
      <c r="K501" t="b">
        <v>1</v>
      </c>
      <c r="L501">
        <v>60</v>
      </c>
      <c r="M501" t="s">
        <v>21</v>
      </c>
    </row>
    <row r="502" spans="1:13" x14ac:dyDescent="0.35">
      <c r="A502" s="2">
        <v>45212.099502314813</v>
      </c>
      <c r="B502" s="2" t="s">
        <v>1090</v>
      </c>
      <c r="C502" s="2" t="str">
        <f t="shared" si="7"/>
        <v>Friday</v>
      </c>
      <c r="D502" s="26">
        <v>8.3333333333333329E-2</v>
      </c>
      <c r="E502" t="s">
        <v>1022</v>
      </c>
      <c r="F502" t="s">
        <v>12</v>
      </c>
      <c r="G502">
        <v>64</v>
      </c>
      <c r="H502">
        <v>2</v>
      </c>
      <c r="I502" t="s">
        <v>1023</v>
      </c>
      <c r="J502" t="s">
        <v>17</v>
      </c>
      <c r="K502" t="b">
        <v>0</v>
      </c>
      <c r="L502">
        <v>50</v>
      </c>
      <c r="M502" t="s">
        <v>21</v>
      </c>
    </row>
    <row r="503" spans="1:13" x14ac:dyDescent="0.35">
      <c r="A503" s="2">
        <v>45214.565370370372</v>
      </c>
      <c r="B503" s="2" t="s">
        <v>1090</v>
      </c>
      <c r="C503" s="2" t="str">
        <f t="shared" si="7"/>
        <v>Sunday</v>
      </c>
      <c r="D503" s="26">
        <v>0.54166666666666663</v>
      </c>
      <c r="E503" t="s">
        <v>1024</v>
      </c>
      <c r="F503" t="s">
        <v>10</v>
      </c>
      <c r="G503">
        <v>47</v>
      </c>
      <c r="H503">
        <v>5</v>
      </c>
      <c r="I503" t="s">
        <v>1025</v>
      </c>
      <c r="J503" t="s">
        <v>11</v>
      </c>
      <c r="K503" t="b">
        <v>1</v>
      </c>
      <c r="L503">
        <v>53</v>
      </c>
      <c r="M503" t="s">
        <v>21</v>
      </c>
    </row>
    <row r="504" spans="1:13" x14ac:dyDescent="0.35">
      <c r="A504" s="2">
        <v>45215.061666666668</v>
      </c>
      <c r="B504" s="2" t="s">
        <v>1090</v>
      </c>
      <c r="C504" s="2" t="str">
        <f t="shared" si="7"/>
        <v>Monday</v>
      </c>
      <c r="D504" s="26">
        <v>4.1666666666666664E-2</v>
      </c>
      <c r="E504" t="s">
        <v>1026</v>
      </c>
      <c r="F504" t="s">
        <v>10</v>
      </c>
      <c r="G504">
        <v>49</v>
      </c>
      <c r="I504" t="s">
        <v>833</v>
      </c>
      <c r="J504" t="s">
        <v>14</v>
      </c>
      <c r="K504" t="b">
        <v>0</v>
      </c>
      <c r="L504">
        <v>46</v>
      </c>
      <c r="M504" t="s">
        <v>21</v>
      </c>
    </row>
    <row r="505" spans="1:13" x14ac:dyDescent="0.35">
      <c r="A505" s="2">
        <v>45215.959467592591</v>
      </c>
      <c r="B505" s="2" t="s">
        <v>1090</v>
      </c>
      <c r="C505" s="2" t="str">
        <f t="shared" si="7"/>
        <v>Monday</v>
      </c>
      <c r="D505" s="26">
        <v>0.95833333333333337</v>
      </c>
      <c r="E505" t="s">
        <v>1027</v>
      </c>
      <c r="F505" t="s">
        <v>12</v>
      </c>
      <c r="G505">
        <v>76</v>
      </c>
      <c r="I505" t="s">
        <v>1028</v>
      </c>
      <c r="J505" t="s">
        <v>13</v>
      </c>
      <c r="K505" t="b">
        <v>0</v>
      </c>
      <c r="L505">
        <v>56</v>
      </c>
      <c r="M505" t="s">
        <v>21</v>
      </c>
    </row>
    <row r="506" spans="1:13" x14ac:dyDescent="0.35">
      <c r="A506" s="2">
        <v>45216.871574074074</v>
      </c>
      <c r="B506" s="2" t="s">
        <v>1090</v>
      </c>
      <c r="C506" s="2" t="str">
        <f t="shared" si="7"/>
        <v>Tuesday</v>
      </c>
      <c r="D506" s="26">
        <v>0.83333333333333337</v>
      </c>
      <c r="E506" t="s">
        <v>1029</v>
      </c>
      <c r="F506" t="s">
        <v>10</v>
      </c>
      <c r="G506">
        <v>49</v>
      </c>
      <c r="H506">
        <v>2</v>
      </c>
      <c r="I506" t="s">
        <v>1030</v>
      </c>
      <c r="J506" t="s">
        <v>18</v>
      </c>
      <c r="K506" t="b">
        <v>0</v>
      </c>
      <c r="L506">
        <v>30</v>
      </c>
      <c r="M506" t="s">
        <v>21</v>
      </c>
    </row>
    <row r="507" spans="1:13" x14ac:dyDescent="0.35">
      <c r="A507" s="2">
        <v>45217.006203703706</v>
      </c>
      <c r="B507" s="2" t="s">
        <v>1090</v>
      </c>
      <c r="C507" s="2" t="str">
        <f t="shared" si="7"/>
        <v>Wednesday</v>
      </c>
      <c r="D507" s="26">
        <v>0</v>
      </c>
      <c r="E507" t="s">
        <v>1031</v>
      </c>
      <c r="F507" t="s">
        <v>10</v>
      </c>
      <c r="G507">
        <v>30</v>
      </c>
      <c r="H507">
        <v>4</v>
      </c>
      <c r="I507" t="s">
        <v>1032</v>
      </c>
      <c r="J507" t="s">
        <v>13</v>
      </c>
      <c r="K507" t="b">
        <v>1</v>
      </c>
      <c r="L507">
        <v>14</v>
      </c>
      <c r="M507" t="s">
        <v>21</v>
      </c>
    </row>
    <row r="508" spans="1:13" x14ac:dyDescent="0.35">
      <c r="A508" s="2">
        <v>45219.517210648148</v>
      </c>
      <c r="B508" s="2" t="s">
        <v>1090</v>
      </c>
      <c r="C508" s="2" t="str">
        <f t="shared" si="7"/>
        <v>Friday</v>
      </c>
      <c r="D508" s="26">
        <v>0.5</v>
      </c>
      <c r="E508" t="s">
        <v>1033</v>
      </c>
      <c r="F508" t="s">
        <v>10</v>
      </c>
      <c r="G508">
        <v>58</v>
      </c>
      <c r="I508" t="s">
        <v>1034</v>
      </c>
      <c r="J508" t="s">
        <v>13</v>
      </c>
      <c r="K508" t="b">
        <v>1</v>
      </c>
      <c r="L508">
        <v>21</v>
      </c>
      <c r="M508" t="s">
        <v>21</v>
      </c>
    </row>
    <row r="509" spans="1:13" x14ac:dyDescent="0.35">
      <c r="A509" s="2">
        <v>45219.639062499999</v>
      </c>
      <c r="B509" s="2" t="s">
        <v>1090</v>
      </c>
      <c r="C509" s="2" t="str">
        <f t="shared" si="7"/>
        <v>Friday</v>
      </c>
      <c r="D509" s="26">
        <v>0.625</v>
      </c>
      <c r="E509" t="s">
        <v>1035</v>
      </c>
      <c r="F509" t="s">
        <v>10</v>
      </c>
      <c r="G509">
        <v>27</v>
      </c>
      <c r="H509">
        <v>1</v>
      </c>
      <c r="I509" t="s">
        <v>213</v>
      </c>
      <c r="J509" t="s">
        <v>13</v>
      </c>
      <c r="K509" t="b">
        <v>1</v>
      </c>
      <c r="L509">
        <v>58</v>
      </c>
      <c r="M509" t="s">
        <v>21</v>
      </c>
    </row>
    <row r="510" spans="1:13" x14ac:dyDescent="0.35">
      <c r="A510" s="2">
        <v>45220.491701388892</v>
      </c>
      <c r="B510" s="2" t="s">
        <v>1090</v>
      </c>
      <c r="C510" s="2" t="str">
        <f t="shared" si="7"/>
        <v>Saturday</v>
      </c>
      <c r="D510" s="26">
        <v>0.45833333333333331</v>
      </c>
      <c r="E510" t="s">
        <v>1036</v>
      </c>
      <c r="F510" t="s">
        <v>12</v>
      </c>
      <c r="G510">
        <v>64</v>
      </c>
      <c r="I510" t="s">
        <v>1037</v>
      </c>
      <c r="J510" t="s">
        <v>11</v>
      </c>
      <c r="K510" t="b">
        <v>1</v>
      </c>
      <c r="L510">
        <v>30</v>
      </c>
      <c r="M510" t="s">
        <v>21</v>
      </c>
    </row>
    <row r="511" spans="1:13" x14ac:dyDescent="0.35">
      <c r="A511" s="2">
        <v>45220.50409722222</v>
      </c>
      <c r="B511" s="2" t="s">
        <v>1090</v>
      </c>
      <c r="C511" s="2" t="str">
        <f t="shared" si="7"/>
        <v>Saturday</v>
      </c>
      <c r="D511" s="26">
        <v>0.5</v>
      </c>
      <c r="E511" t="s">
        <v>1038</v>
      </c>
      <c r="F511" t="s">
        <v>12</v>
      </c>
      <c r="G511">
        <v>35</v>
      </c>
      <c r="H511">
        <v>4</v>
      </c>
      <c r="I511" t="s">
        <v>1039</v>
      </c>
      <c r="J511" t="s">
        <v>16</v>
      </c>
      <c r="K511" t="b">
        <v>0</v>
      </c>
      <c r="L511">
        <v>13</v>
      </c>
      <c r="M511" t="s">
        <v>21</v>
      </c>
    </row>
    <row r="512" spans="1:13" x14ac:dyDescent="0.35">
      <c r="A512" s="2">
        <v>45220.827499999999</v>
      </c>
      <c r="B512" s="2" t="s">
        <v>1090</v>
      </c>
      <c r="C512" s="2" t="str">
        <f t="shared" si="7"/>
        <v>Saturday</v>
      </c>
      <c r="D512" s="26">
        <v>0.79166666666666663</v>
      </c>
      <c r="E512" t="s">
        <v>1040</v>
      </c>
      <c r="F512" t="s">
        <v>10</v>
      </c>
      <c r="G512">
        <v>41</v>
      </c>
      <c r="H512">
        <v>7</v>
      </c>
      <c r="I512" t="s">
        <v>1041</v>
      </c>
      <c r="J512" t="s">
        <v>13</v>
      </c>
      <c r="K512" t="b">
        <v>1</v>
      </c>
      <c r="L512">
        <v>10</v>
      </c>
      <c r="M512" t="s">
        <v>21</v>
      </c>
    </row>
    <row r="513" spans="1:13" x14ac:dyDescent="0.35">
      <c r="A513" s="2">
        <v>45220.828032407408</v>
      </c>
      <c r="B513" s="2" t="s">
        <v>1090</v>
      </c>
      <c r="C513" s="2" t="str">
        <f t="shared" si="7"/>
        <v>Saturday</v>
      </c>
      <c r="D513" s="26">
        <v>0.79166666666666663</v>
      </c>
      <c r="E513" t="s">
        <v>1042</v>
      </c>
      <c r="F513" t="s">
        <v>12</v>
      </c>
      <c r="G513">
        <v>75</v>
      </c>
      <c r="I513" t="s">
        <v>813</v>
      </c>
      <c r="J513" t="s">
        <v>16</v>
      </c>
      <c r="K513" t="b">
        <v>0</v>
      </c>
      <c r="L513">
        <v>53</v>
      </c>
      <c r="M513" t="s">
        <v>21</v>
      </c>
    </row>
    <row r="514" spans="1:13" x14ac:dyDescent="0.35">
      <c r="A514" s="2">
        <v>45221.189282407409</v>
      </c>
      <c r="B514" s="2" t="s">
        <v>1090</v>
      </c>
      <c r="C514" s="2" t="str">
        <f t="shared" si="7"/>
        <v>Sunday</v>
      </c>
      <c r="D514" s="26">
        <v>0.16666666666666666</v>
      </c>
      <c r="E514" t="s">
        <v>1044</v>
      </c>
      <c r="F514" t="s">
        <v>12</v>
      </c>
      <c r="G514">
        <v>44</v>
      </c>
      <c r="I514" t="s">
        <v>858</v>
      </c>
      <c r="J514" t="s">
        <v>11</v>
      </c>
      <c r="K514" t="b">
        <v>0</v>
      </c>
      <c r="L514">
        <v>38</v>
      </c>
      <c r="M514" t="s">
        <v>21</v>
      </c>
    </row>
    <row r="515" spans="1:13" x14ac:dyDescent="0.35">
      <c r="A515" s="2">
        <v>45221.416354166664</v>
      </c>
      <c r="B515" s="2" t="s">
        <v>1090</v>
      </c>
      <c r="C515" s="2" t="str">
        <f t="shared" ref="C515:C532" si="8">TEXT(A515,"dddd")</f>
        <v>Sunday</v>
      </c>
      <c r="D515" s="26">
        <v>0.375</v>
      </c>
      <c r="E515" t="s">
        <v>1045</v>
      </c>
      <c r="F515" t="s">
        <v>10</v>
      </c>
      <c r="G515">
        <v>63</v>
      </c>
      <c r="H515">
        <v>7</v>
      </c>
      <c r="I515" t="s">
        <v>1046</v>
      </c>
      <c r="J515" t="s">
        <v>13</v>
      </c>
      <c r="K515" t="b">
        <v>0</v>
      </c>
      <c r="L515">
        <v>37</v>
      </c>
      <c r="M515" t="s">
        <v>21</v>
      </c>
    </row>
    <row r="516" spans="1:13" x14ac:dyDescent="0.35">
      <c r="A516" s="2">
        <v>45221.653738425928</v>
      </c>
      <c r="B516" s="2" t="s">
        <v>1090</v>
      </c>
      <c r="C516" s="2" t="str">
        <f t="shared" si="8"/>
        <v>Sunday</v>
      </c>
      <c r="D516" s="26">
        <v>0.625</v>
      </c>
      <c r="E516" t="s">
        <v>1047</v>
      </c>
      <c r="F516" t="s">
        <v>10</v>
      </c>
      <c r="G516">
        <v>31</v>
      </c>
      <c r="I516" t="s">
        <v>1048</v>
      </c>
      <c r="J516" t="s">
        <v>13</v>
      </c>
      <c r="K516" t="b">
        <v>1</v>
      </c>
      <c r="L516">
        <v>17</v>
      </c>
      <c r="M516" t="s">
        <v>21</v>
      </c>
    </row>
    <row r="517" spans="1:13" x14ac:dyDescent="0.35">
      <c r="A517" s="2">
        <v>45221.723171296297</v>
      </c>
      <c r="B517" s="2" t="s">
        <v>1090</v>
      </c>
      <c r="C517" s="2" t="str">
        <f t="shared" si="8"/>
        <v>Sunday</v>
      </c>
      <c r="D517" s="26">
        <v>0.70833333333333337</v>
      </c>
      <c r="E517" t="s">
        <v>1049</v>
      </c>
      <c r="F517" t="s">
        <v>12</v>
      </c>
      <c r="G517">
        <v>38</v>
      </c>
      <c r="H517">
        <v>1</v>
      </c>
      <c r="I517" t="s">
        <v>1050</v>
      </c>
      <c r="J517" t="s">
        <v>11</v>
      </c>
      <c r="K517" t="b">
        <v>1</v>
      </c>
      <c r="L517">
        <v>39</v>
      </c>
      <c r="M517" t="s">
        <v>21</v>
      </c>
    </row>
    <row r="518" spans="1:13" x14ac:dyDescent="0.35">
      <c r="A518" s="2">
        <v>45223.261273148149</v>
      </c>
      <c r="B518" s="2" t="s">
        <v>1090</v>
      </c>
      <c r="C518" s="2" t="str">
        <f t="shared" si="8"/>
        <v>Tuesday</v>
      </c>
      <c r="D518" s="26">
        <v>0.25</v>
      </c>
      <c r="E518" t="s">
        <v>1051</v>
      </c>
      <c r="F518" t="s">
        <v>12</v>
      </c>
      <c r="G518">
        <v>15</v>
      </c>
      <c r="I518" t="s">
        <v>1052</v>
      </c>
      <c r="J518" t="s">
        <v>13</v>
      </c>
      <c r="K518" t="b">
        <v>0</v>
      </c>
      <c r="L518">
        <v>30</v>
      </c>
      <c r="M518" t="s">
        <v>21</v>
      </c>
    </row>
    <row r="519" spans="1:13" x14ac:dyDescent="0.35">
      <c r="A519" s="2">
        <v>45223.309386574074</v>
      </c>
      <c r="B519" s="2" t="s">
        <v>1090</v>
      </c>
      <c r="C519" s="2" t="str">
        <f t="shared" si="8"/>
        <v>Tuesday</v>
      </c>
      <c r="D519" s="26">
        <v>0.29166666666666669</v>
      </c>
      <c r="E519" t="s">
        <v>1053</v>
      </c>
      <c r="F519" t="s">
        <v>12</v>
      </c>
      <c r="G519">
        <v>52</v>
      </c>
      <c r="I519" t="s">
        <v>861</v>
      </c>
      <c r="J519" t="s">
        <v>13</v>
      </c>
      <c r="K519" t="b">
        <v>0</v>
      </c>
      <c r="L519">
        <v>23</v>
      </c>
      <c r="M519" t="s">
        <v>21</v>
      </c>
    </row>
    <row r="520" spans="1:13" x14ac:dyDescent="0.35">
      <c r="A520" s="2">
        <v>45224.810590277775</v>
      </c>
      <c r="B520" s="2" t="s">
        <v>1090</v>
      </c>
      <c r="C520" s="2" t="str">
        <f t="shared" si="8"/>
        <v>Wednesday</v>
      </c>
      <c r="D520" s="26">
        <v>0.79166666666666663</v>
      </c>
      <c r="E520" t="s">
        <v>1054</v>
      </c>
      <c r="F520" t="s">
        <v>10</v>
      </c>
      <c r="G520">
        <v>56</v>
      </c>
      <c r="I520" t="s">
        <v>1055</v>
      </c>
      <c r="J520" t="s">
        <v>13</v>
      </c>
      <c r="K520" t="b">
        <v>0</v>
      </c>
      <c r="L520">
        <v>17</v>
      </c>
      <c r="M520" t="s">
        <v>21</v>
      </c>
    </row>
    <row r="521" spans="1:13" x14ac:dyDescent="0.35">
      <c r="A521" s="2">
        <v>45225.227847222224</v>
      </c>
      <c r="B521" s="2" t="s">
        <v>1090</v>
      </c>
      <c r="C521" s="2" t="str">
        <f t="shared" si="8"/>
        <v>Thursday</v>
      </c>
      <c r="D521" s="26">
        <v>0.20833333333333334</v>
      </c>
      <c r="E521" t="s">
        <v>1056</v>
      </c>
      <c r="F521" t="s">
        <v>12</v>
      </c>
      <c r="G521">
        <v>3</v>
      </c>
      <c r="I521" t="s">
        <v>1043</v>
      </c>
      <c r="J521" t="s">
        <v>13</v>
      </c>
      <c r="K521" t="b">
        <v>1</v>
      </c>
      <c r="L521">
        <v>33</v>
      </c>
      <c r="M521" t="s">
        <v>21</v>
      </c>
    </row>
    <row r="522" spans="1:13" x14ac:dyDescent="0.35">
      <c r="A522" s="2">
        <v>45225.668321759258</v>
      </c>
      <c r="B522" s="2" t="s">
        <v>1090</v>
      </c>
      <c r="C522" s="2" t="str">
        <f t="shared" si="8"/>
        <v>Thursday</v>
      </c>
      <c r="D522" s="26">
        <v>0.66666666666666663</v>
      </c>
      <c r="E522" t="s">
        <v>1057</v>
      </c>
      <c r="F522" t="s">
        <v>10</v>
      </c>
      <c r="G522">
        <v>70</v>
      </c>
      <c r="I522" t="s">
        <v>1058</v>
      </c>
      <c r="J522" t="s">
        <v>11</v>
      </c>
      <c r="K522" t="b">
        <v>1</v>
      </c>
      <c r="L522">
        <v>16</v>
      </c>
      <c r="M522" t="s">
        <v>21</v>
      </c>
    </row>
    <row r="523" spans="1:13" x14ac:dyDescent="0.35">
      <c r="A523" s="2">
        <v>45225.673101851855</v>
      </c>
      <c r="B523" s="2" t="s">
        <v>1090</v>
      </c>
      <c r="C523" s="2" t="str">
        <f t="shared" si="8"/>
        <v>Thursday</v>
      </c>
      <c r="D523" s="26">
        <v>0.66666666666666663</v>
      </c>
      <c r="E523" t="s">
        <v>1059</v>
      </c>
      <c r="F523" t="s">
        <v>10</v>
      </c>
      <c r="G523">
        <v>16</v>
      </c>
      <c r="I523" t="s">
        <v>1060</v>
      </c>
      <c r="J523" t="s">
        <v>14</v>
      </c>
      <c r="K523" t="b">
        <v>1</v>
      </c>
      <c r="L523">
        <v>15</v>
      </c>
      <c r="M523" t="s">
        <v>21</v>
      </c>
    </row>
    <row r="524" spans="1:13" x14ac:dyDescent="0.35">
      <c r="A524" s="2">
        <v>45226.014398148145</v>
      </c>
      <c r="B524" s="2" t="s">
        <v>1090</v>
      </c>
      <c r="C524" s="2" t="str">
        <f t="shared" si="8"/>
        <v>Friday</v>
      </c>
      <c r="D524" s="26">
        <v>0</v>
      </c>
      <c r="E524" t="s">
        <v>1061</v>
      </c>
      <c r="F524" t="s">
        <v>12</v>
      </c>
      <c r="G524">
        <v>7</v>
      </c>
      <c r="H524">
        <v>10</v>
      </c>
      <c r="I524" t="s">
        <v>1062</v>
      </c>
      <c r="J524" t="s">
        <v>13</v>
      </c>
      <c r="K524" t="b">
        <v>1</v>
      </c>
      <c r="L524">
        <v>31</v>
      </c>
      <c r="M524" t="s">
        <v>21</v>
      </c>
    </row>
    <row r="525" spans="1:13" x14ac:dyDescent="0.35">
      <c r="A525" s="2">
        <v>45226.714212962965</v>
      </c>
      <c r="B525" s="2" t="s">
        <v>1090</v>
      </c>
      <c r="C525" s="2" t="str">
        <f t="shared" si="8"/>
        <v>Friday</v>
      </c>
      <c r="D525" s="26">
        <v>0.70833333333333337</v>
      </c>
      <c r="E525" t="s">
        <v>1063</v>
      </c>
      <c r="F525" t="s">
        <v>10</v>
      </c>
      <c r="G525">
        <v>58</v>
      </c>
      <c r="I525" t="s">
        <v>1064</v>
      </c>
      <c r="J525" t="s">
        <v>11</v>
      </c>
      <c r="K525" t="b">
        <v>1</v>
      </c>
      <c r="L525">
        <v>14</v>
      </c>
      <c r="M525" t="s">
        <v>21</v>
      </c>
    </row>
    <row r="526" spans="1:13" x14ac:dyDescent="0.35">
      <c r="A526" s="2">
        <v>45226.726388888892</v>
      </c>
      <c r="B526" s="2" t="s">
        <v>1090</v>
      </c>
      <c r="C526" s="2" t="str">
        <f t="shared" si="8"/>
        <v>Friday</v>
      </c>
      <c r="D526" s="26">
        <v>0.70833333333333337</v>
      </c>
      <c r="E526" t="s">
        <v>1065</v>
      </c>
      <c r="F526" t="s">
        <v>10</v>
      </c>
      <c r="G526">
        <v>24</v>
      </c>
      <c r="I526" t="s">
        <v>751</v>
      </c>
      <c r="J526" t="s">
        <v>14</v>
      </c>
      <c r="K526" t="b">
        <v>1</v>
      </c>
      <c r="L526">
        <v>57</v>
      </c>
      <c r="M526" t="s">
        <v>21</v>
      </c>
    </row>
    <row r="527" spans="1:13" x14ac:dyDescent="0.35">
      <c r="A527" s="2">
        <v>45227.111307870371</v>
      </c>
      <c r="B527" s="2" t="s">
        <v>1090</v>
      </c>
      <c r="C527" s="2" t="str">
        <f t="shared" si="8"/>
        <v>Saturday</v>
      </c>
      <c r="D527" s="26">
        <v>8.3333333333333329E-2</v>
      </c>
      <c r="E527" t="s">
        <v>1066</v>
      </c>
      <c r="F527" t="s">
        <v>10</v>
      </c>
      <c r="G527">
        <v>28</v>
      </c>
      <c r="I527" t="s">
        <v>1067</v>
      </c>
      <c r="J527" t="s">
        <v>11</v>
      </c>
      <c r="K527" t="b">
        <v>1</v>
      </c>
      <c r="L527">
        <v>27</v>
      </c>
      <c r="M527" t="s">
        <v>21</v>
      </c>
    </row>
    <row r="528" spans="1:13" x14ac:dyDescent="0.35">
      <c r="A528" s="2">
        <v>45227.354074074072</v>
      </c>
      <c r="B528" s="2" t="s">
        <v>1090</v>
      </c>
      <c r="C528" s="2" t="str">
        <f t="shared" si="8"/>
        <v>Saturday</v>
      </c>
      <c r="D528" s="26">
        <v>0.33333333333333331</v>
      </c>
      <c r="E528" t="s">
        <v>1068</v>
      </c>
      <c r="F528" t="s">
        <v>10</v>
      </c>
      <c r="G528">
        <v>67</v>
      </c>
      <c r="H528">
        <v>7</v>
      </c>
      <c r="I528" t="s">
        <v>1069</v>
      </c>
      <c r="J528" t="s">
        <v>13</v>
      </c>
      <c r="K528" t="b">
        <v>1</v>
      </c>
      <c r="L528">
        <v>43</v>
      </c>
      <c r="M528" t="s">
        <v>21</v>
      </c>
    </row>
    <row r="529" spans="1:13" x14ac:dyDescent="0.35">
      <c r="A529" s="2">
        <v>45227.909837962965</v>
      </c>
      <c r="B529" s="2" t="s">
        <v>1090</v>
      </c>
      <c r="C529" s="2" t="str">
        <f t="shared" si="8"/>
        <v>Saturday</v>
      </c>
      <c r="D529" s="26">
        <v>0.875</v>
      </c>
      <c r="E529" t="s">
        <v>1070</v>
      </c>
      <c r="F529" t="s">
        <v>10</v>
      </c>
      <c r="G529">
        <v>51</v>
      </c>
      <c r="I529" t="s">
        <v>1071</v>
      </c>
      <c r="J529" t="s">
        <v>18</v>
      </c>
      <c r="K529" t="b">
        <v>0</v>
      </c>
      <c r="L529">
        <v>18</v>
      </c>
      <c r="M529" t="s">
        <v>21</v>
      </c>
    </row>
    <row r="530" spans="1:13" x14ac:dyDescent="0.35">
      <c r="A530" s="2">
        <v>45228.778414351851</v>
      </c>
      <c r="B530" s="2" t="s">
        <v>1090</v>
      </c>
      <c r="C530" s="2" t="str">
        <f t="shared" si="8"/>
        <v>Sunday</v>
      </c>
      <c r="D530" s="26">
        <v>0.75</v>
      </c>
      <c r="E530" t="s">
        <v>1072</v>
      </c>
      <c r="F530" t="s">
        <v>10</v>
      </c>
      <c r="G530">
        <v>27</v>
      </c>
      <c r="I530" t="s">
        <v>1073</v>
      </c>
      <c r="J530" t="s">
        <v>15</v>
      </c>
      <c r="K530" t="b">
        <v>0</v>
      </c>
      <c r="L530">
        <v>43</v>
      </c>
      <c r="M530" t="s">
        <v>21</v>
      </c>
    </row>
    <row r="531" spans="1:13" x14ac:dyDescent="0.35">
      <c r="A531" s="2">
        <v>45229.020624999997</v>
      </c>
      <c r="B531" s="2" t="s">
        <v>1090</v>
      </c>
      <c r="C531" s="2" t="str">
        <f t="shared" si="8"/>
        <v>Monday</v>
      </c>
      <c r="D531" s="26">
        <v>0</v>
      </c>
      <c r="E531" t="s">
        <v>1074</v>
      </c>
      <c r="F531" t="s">
        <v>12</v>
      </c>
      <c r="G531">
        <v>36</v>
      </c>
      <c r="I531" t="s">
        <v>1075</v>
      </c>
      <c r="J531" t="s">
        <v>17</v>
      </c>
      <c r="K531" t="b">
        <v>1</v>
      </c>
      <c r="L531">
        <v>47</v>
      </c>
      <c r="M531" t="s">
        <v>21</v>
      </c>
    </row>
    <row r="532" spans="1:13" x14ac:dyDescent="0.35">
      <c r="A532" s="2">
        <v>45229.092280092591</v>
      </c>
      <c r="B532" s="2" t="s">
        <v>1090</v>
      </c>
      <c r="C532" s="2" t="str">
        <f t="shared" si="8"/>
        <v>Monday</v>
      </c>
      <c r="D532" s="26">
        <v>8.3333333333333329E-2</v>
      </c>
      <c r="E532" t="s">
        <v>1076</v>
      </c>
      <c r="F532" t="s">
        <v>12</v>
      </c>
      <c r="G532">
        <v>13</v>
      </c>
      <c r="H532">
        <v>5</v>
      </c>
      <c r="I532" t="s">
        <v>1077</v>
      </c>
      <c r="J532" t="s">
        <v>16</v>
      </c>
      <c r="K532" t="b">
        <v>1</v>
      </c>
      <c r="L532">
        <v>45</v>
      </c>
      <c r="M532" t="s">
        <v>21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D6074-8FCA-47EB-9583-67C22C2B19FC}">
  <dimension ref="D1:AZ54"/>
  <sheetViews>
    <sheetView showGridLines="0" zoomScale="50" zoomScaleNormal="50" workbookViewId="0">
      <selection activeCell="AK19" sqref="AK19"/>
    </sheetView>
  </sheetViews>
  <sheetFormatPr defaultRowHeight="14.5" x14ac:dyDescent="0.35"/>
  <cols>
    <col min="9" max="9" width="14.6328125" bestFit="1" customWidth="1"/>
    <col min="10" max="10" width="13.453125" bestFit="1" customWidth="1"/>
    <col min="11" max="11" width="11.08984375" bestFit="1" customWidth="1"/>
  </cols>
  <sheetData>
    <row r="1" spans="4:31" x14ac:dyDescent="0.35">
      <c r="P1" s="3"/>
      <c r="Q1" s="3"/>
      <c r="R1" s="3"/>
      <c r="S1" s="3"/>
      <c r="T1" s="3"/>
      <c r="U1" s="3"/>
      <c r="V1" s="3"/>
      <c r="W1" s="3"/>
      <c r="X1" s="3"/>
      <c r="Y1" s="3"/>
    </row>
    <row r="2" spans="4:31" x14ac:dyDescent="0.35">
      <c r="E2" s="29" t="s">
        <v>1104</v>
      </c>
      <c r="F2" s="30"/>
      <c r="G2" s="30"/>
      <c r="H2" s="30"/>
      <c r="I2" s="30"/>
      <c r="J2" s="30"/>
      <c r="K2" s="30"/>
      <c r="L2" s="30"/>
      <c r="M2" s="30"/>
      <c r="N2" s="30"/>
      <c r="O2" s="30"/>
      <c r="P2" s="30"/>
      <c r="Q2" s="3"/>
      <c r="R2" s="3"/>
      <c r="S2" s="3"/>
      <c r="T2" s="3"/>
      <c r="U2" s="3"/>
      <c r="V2" s="3"/>
      <c r="W2" s="3"/>
      <c r="X2" s="3"/>
      <c r="Y2" s="3"/>
      <c r="Z2" s="3"/>
      <c r="AA2" s="3"/>
      <c r="AB2" s="3"/>
      <c r="AC2" s="3"/>
      <c r="AD2" s="3"/>
      <c r="AE2" s="3"/>
    </row>
    <row r="3" spans="4:31" ht="14.5" customHeight="1" x14ac:dyDescent="0.35">
      <c r="E3" s="30"/>
      <c r="F3" s="30"/>
      <c r="G3" s="30"/>
      <c r="H3" s="30"/>
      <c r="I3" s="30"/>
      <c r="J3" s="30"/>
      <c r="K3" s="30"/>
      <c r="L3" s="30"/>
      <c r="M3" s="30"/>
      <c r="N3" s="30"/>
      <c r="O3" s="30"/>
      <c r="P3" s="30"/>
      <c r="Q3" s="3"/>
      <c r="R3" s="28" t="s">
        <v>1105</v>
      </c>
      <c r="S3" s="28"/>
      <c r="T3" s="28"/>
      <c r="U3" s="3"/>
      <c r="V3" s="28" t="s">
        <v>1106</v>
      </c>
      <c r="W3" s="28"/>
      <c r="X3" s="28"/>
      <c r="Y3" s="3"/>
      <c r="Z3" s="28" t="s">
        <v>1107</v>
      </c>
      <c r="AA3" s="28"/>
      <c r="AB3" s="28"/>
      <c r="AC3" s="3"/>
      <c r="AD3" s="3"/>
      <c r="AE3" s="3"/>
    </row>
    <row r="4" spans="4:31" ht="14.5" customHeight="1" x14ac:dyDescent="0.35">
      <c r="E4" s="30"/>
      <c r="F4" s="30"/>
      <c r="G4" s="30"/>
      <c r="H4" s="30"/>
      <c r="I4" s="30"/>
      <c r="J4" s="30"/>
      <c r="K4" s="30"/>
      <c r="L4" s="30"/>
      <c r="M4" s="30"/>
      <c r="N4" s="30"/>
      <c r="O4" s="30"/>
      <c r="P4" s="30"/>
      <c r="Q4" s="3"/>
      <c r="R4" s="28"/>
      <c r="S4" s="28"/>
      <c r="T4" s="28"/>
      <c r="U4" s="3"/>
      <c r="V4" s="28"/>
      <c r="W4" s="28"/>
      <c r="X4" s="28"/>
      <c r="Y4" s="3"/>
      <c r="Z4" s="28"/>
      <c r="AA4" s="28"/>
      <c r="AB4" s="28"/>
      <c r="AC4" s="3"/>
      <c r="AD4" s="3"/>
      <c r="AE4" s="3"/>
    </row>
    <row r="5" spans="4:31" x14ac:dyDescent="0.35">
      <c r="E5" s="30"/>
      <c r="F5" s="30"/>
      <c r="G5" s="30"/>
      <c r="H5" s="30"/>
      <c r="I5" s="30"/>
      <c r="J5" s="30"/>
      <c r="K5" s="30"/>
      <c r="L5" s="30"/>
      <c r="M5" s="30"/>
      <c r="N5" s="30"/>
      <c r="O5" s="30"/>
      <c r="P5" s="30"/>
      <c r="Q5" s="3"/>
      <c r="R5" s="3"/>
      <c r="S5" s="3"/>
      <c r="T5" s="3"/>
      <c r="U5" s="3"/>
      <c r="V5" s="3"/>
      <c r="W5" s="3"/>
      <c r="X5" s="3"/>
      <c r="Y5" s="3"/>
      <c r="Z5" s="3"/>
      <c r="AA5" s="3"/>
      <c r="AB5" s="3"/>
      <c r="AC5" s="3"/>
      <c r="AD5" s="3"/>
      <c r="AE5" s="3"/>
    </row>
    <row r="6" spans="4:31" x14ac:dyDescent="0.35">
      <c r="E6" s="30"/>
      <c r="F6" s="30"/>
      <c r="G6" s="30"/>
      <c r="H6" s="30"/>
      <c r="I6" s="30"/>
      <c r="J6" s="30"/>
      <c r="K6" s="30"/>
      <c r="L6" s="30"/>
      <c r="M6" s="30"/>
      <c r="N6" s="30"/>
      <c r="O6" s="30"/>
      <c r="P6" s="30"/>
      <c r="Q6" s="3"/>
      <c r="R6" s="11">
        <f>GETPIVOTDATA("Count of patient_id",KPIs!$C$5)</f>
        <v>531</v>
      </c>
      <c r="S6" s="11"/>
      <c r="T6" s="11"/>
      <c r="U6" s="3"/>
      <c r="V6" s="12">
        <f>GETPIVOTDATA("Average of patient_sat_score",KPIs!$C$5)</f>
        <v>5.1241830065359473</v>
      </c>
      <c r="W6" s="12"/>
      <c r="X6" s="12"/>
      <c r="Y6" s="3"/>
      <c r="Z6" s="13">
        <f>GETPIVOTDATA("Average of patient_waittime",KPIs!$C$5)</f>
        <v>35.83050847457627</v>
      </c>
      <c r="AA6" s="13"/>
      <c r="AB6" s="13"/>
      <c r="AC6" s="3"/>
      <c r="AD6" s="3"/>
      <c r="AE6" s="3"/>
    </row>
    <row r="7" spans="4:31" x14ac:dyDescent="0.35">
      <c r="E7" s="30"/>
      <c r="F7" s="30"/>
      <c r="G7" s="30"/>
      <c r="H7" s="30"/>
      <c r="I7" s="30"/>
      <c r="J7" s="30"/>
      <c r="K7" s="30"/>
      <c r="L7" s="30"/>
      <c r="M7" s="30"/>
      <c r="N7" s="30"/>
      <c r="O7" s="30"/>
      <c r="P7" s="30"/>
      <c r="Q7" s="3"/>
      <c r="R7" s="11"/>
      <c r="S7" s="11"/>
      <c r="T7" s="11"/>
      <c r="U7" s="3"/>
      <c r="V7" s="12"/>
      <c r="W7" s="12"/>
      <c r="X7" s="12"/>
      <c r="Y7" s="3"/>
      <c r="Z7" s="13"/>
      <c r="AA7" s="13"/>
      <c r="AB7" s="13"/>
      <c r="AC7" s="3"/>
      <c r="AD7" s="3"/>
      <c r="AE7" s="3"/>
    </row>
    <row r="8" spans="4:31" x14ac:dyDescent="0.35">
      <c r="E8" s="31" t="s">
        <v>1116</v>
      </c>
      <c r="F8" s="32"/>
      <c r="G8" s="32"/>
      <c r="H8" s="32"/>
      <c r="I8" s="32"/>
      <c r="J8" s="32"/>
      <c r="K8" s="32"/>
      <c r="L8" s="32"/>
      <c r="M8" s="32"/>
      <c r="N8" s="32"/>
      <c r="O8" s="32"/>
      <c r="P8" s="32"/>
      <c r="Q8" s="3"/>
      <c r="R8" s="11"/>
      <c r="S8" s="11"/>
      <c r="T8" s="11"/>
      <c r="U8" s="3"/>
      <c r="V8" s="12"/>
      <c r="W8" s="12"/>
      <c r="X8" s="12"/>
      <c r="Y8" s="3"/>
      <c r="Z8" s="13"/>
      <c r="AA8" s="13"/>
      <c r="AB8" s="13"/>
      <c r="AC8" s="3"/>
      <c r="AD8" s="3"/>
      <c r="AE8" s="3"/>
    </row>
    <row r="9" spans="4:31" x14ac:dyDescent="0.35">
      <c r="E9" s="32"/>
      <c r="F9" s="32"/>
      <c r="G9" s="32"/>
      <c r="H9" s="32"/>
      <c r="I9" s="32"/>
      <c r="J9" s="32"/>
      <c r="K9" s="32"/>
      <c r="L9" s="32"/>
      <c r="M9" s="32"/>
      <c r="N9" s="32"/>
      <c r="O9" s="32"/>
      <c r="P9" s="32"/>
      <c r="Q9" s="3"/>
      <c r="R9" s="11"/>
      <c r="S9" s="11"/>
      <c r="T9" s="11"/>
      <c r="U9" s="3"/>
      <c r="V9" s="12"/>
      <c r="W9" s="12"/>
      <c r="X9" s="12"/>
      <c r="Y9" s="3"/>
      <c r="Z9" s="13"/>
      <c r="AA9" s="13"/>
      <c r="AB9" s="13"/>
      <c r="AC9" s="3"/>
      <c r="AD9" s="3"/>
      <c r="AE9" s="3"/>
    </row>
    <row r="10" spans="4:31" x14ac:dyDescent="0.35">
      <c r="E10" s="32"/>
      <c r="F10" s="32"/>
      <c r="G10" s="32"/>
      <c r="H10" s="32"/>
      <c r="I10" s="32"/>
      <c r="J10" s="32"/>
      <c r="K10" s="32"/>
      <c r="L10" s="32"/>
      <c r="M10" s="32"/>
      <c r="N10" s="32"/>
      <c r="O10" s="32"/>
      <c r="P10" s="32"/>
      <c r="Q10" s="3"/>
      <c r="R10" s="11"/>
      <c r="S10" s="11"/>
      <c r="T10" s="11"/>
      <c r="U10" s="3"/>
      <c r="V10" s="12"/>
      <c r="W10" s="12"/>
      <c r="X10" s="12"/>
      <c r="Y10" s="3"/>
      <c r="Z10" s="13"/>
      <c r="AA10" s="13"/>
      <c r="AB10" s="13"/>
      <c r="AC10" s="3"/>
      <c r="AD10" s="3"/>
      <c r="AE10" s="3"/>
    </row>
    <row r="11" spans="4:31" x14ac:dyDescent="0.35">
      <c r="E11" s="32"/>
      <c r="F11" s="32"/>
      <c r="G11" s="32"/>
      <c r="H11" s="32"/>
      <c r="I11" s="32"/>
      <c r="J11" s="32"/>
      <c r="K11" s="32"/>
      <c r="L11" s="32"/>
      <c r="M11" s="32"/>
      <c r="N11" s="32"/>
      <c r="O11" s="32"/>
      <c r="P11" s="32"/>
      <c r="Q11" s="3"/>
      <c r="R11" s="11"/>
      <c r="S11" s="11"/>
      <c r="T11" s="11"/>
      <c r="U11" s="3"/>
      <c r="V11" s="12"/>
      <c r="W11" s="12"/>
      <c r="X11" s="12"/>
      <c r="Y11" s="3"/>
      <c r="Z11" s="13"/>
      <c r="AA11" s="13"/>
      <c r="AB11" s="13"/>
      <c r="AC11" s="3"/>
      <c r="AD11" s="3"/>
      <c r="AE11" s="3"/>
    </row>
    <row r="12" spans="4:31" x14ac:dyDescent="0.35">
      <c r="E12" s="32"/>
      <c r="F12" s="32"/>
      <c r="G12" s="32"/>
      <c r="H12" s="32"/>
      <c r="I12" s="32"/>
      <c r="J12" s="32"/>
      <c r="K12" s="32"/>
      <c r="L12" s="32"/>
      <c r="M12" s="32"/>
      <c r="N12" s="32"/>
      <c r="O12" s="32"/>
      <c r="P12" s="32"/>
      <c r="Q12" s="3"/>
      <c r="R12" s="3"/>
      <c r="S12" s="3"/>
      <c r="T12" s="3"/>
      <c r="U12" s="3"/>
      <c r="V12" s="3"/>
      <c r="W12" s="3"/>
      <c r="X12" s="3"/>
      <c r="Y12" s="3"/>
      <c r="Z12" s="3"/>
      <c r="AA12" s="3"/>
      <c r="AB12" s="3"/>
      <c r="AC12" s="3"/>
      <c r="AD12" s="3"/>
      <c r="AE12" s="3"/>
    </row>
    <row r="13" spans="4:31" x14ac:dyDescent="0.35">
      <c r="U13" s="3"/>
      <c r="V13" s="3"/>
      <c r="W13" s="3"/>
      <c r="X13" s="3"/>
      <c r="Y13" s="3"/>
    </row>
    <row r="14" spans="4:31" x14ac:dyDescent="0.35">
      <c r="D14" s="3"/>
      <c r="E14" s="3"/>
      <c r="F14" s="3"/>
      <c r="G14" s="3"/>
      <c r="I14" s="27" t="s">
        <v>1115</v>
      </c>
      <c r="J14" s="27"/>
      <c r="K14" s="27"/>
      <c r="U14" s="3"/>
      <c r="V14" s="3"/>
      <c r="W14" s="3"/>
      <c r="X14" s="3"/>
      <c r="Y14" s="3"/>
    </row>
    <row r="15" spans="4:31" x14ac:dyDescent="0.35">
      <c r="D15" s="3"/>
      <c r="E15" s="3"/>
      <c r="F15" s="3"/>
      <c r="G15" s="3"/>
      <c r="H15" s="3"/>
      <c r="I15" s="27"/>
      <c r="J15" s="27"/>
      <c r="K15" s="27"/>
      <c r="L15" s="3"/>
      <c r="N15" s="3"/>
      <c r="O15" s="3"/>
      <c r="P15" s="3"/>
      <c r="Q15" s="3"/>
      <c r="R15" s="3"/>
      <c r="S15" s="3"/>
      <c r="T15" s="3"/>
      <c r="U15" s="3"/>
      <c r="V15" s="3"/>
      <c r="W15" s="3"/>
      <c r="X15" s="3"/>
      <c r="Y15" s="3"/>
      <c r="Z15" s="3"/>
      <c r="AA15" s="3"/>
      <c r="AB15" s="3"/>
      <c r="AC15" s="3"/>
      <c r="AD15" s="3"/>
      <c r="AE15" s="3"/>
    </row>
    <row r="16" spans="4:31" x14ac:dyDescent="0.35">
      <c r="D16" s="3"/>
      <c r="E16" s="3"/>
      <c r="F16" s="3"/>
      <c r="G16" s="3"/>
      <c r="H16" s="3"/>
      <c r="I16" s="27"/>
      <c r="J16" s="27"/>
      <c r="K16" s="27"/>
      <c r="L16" s="3"/>
      <c r="M16" s="3"/>
      <c r="N16" s="3"/>
      <c r="O16" s="3"/>
      <c r="P16" s="3"/>
      <c r="Q16" s="3"/>
      <c r="R16" s="3"/>
      <c r="S16" s="3"/>
      <c r="T16" s="3"/>
      <c r="U16" s="3"/>
      <c r="V16" s="3"/>
      <c r="W16" s="3"/>
      <c r="X16" s="3"/>
      <c r="Y16" s="3"/>
      <c r="Z16" s="3"/>
      <c r="AA16" s="3"/>
      <c r="AB16" s="3"/>
      <c r="AC16" s="3"/>
      <c r="AD16" s="3"/>
      <c r="AE16" s="3"/>
    </row>
    <row r="17" spans="4:34" x14ac:dyDescent="0.35">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row>
    <row r="18" spans="4:34" x14ac:dyDescent="0.35">
      <c r="D18" s="3"/>
      <c r="E18" s="3"/>
      <c r="F18" s="3"/>
      <c r="G18" s="3"/>
      <c r="H18" s="3"/>
      <c r="I18" s="19" t="s">
        <v>1109</v>
      </c>
      <c r="J18" s="20" t="s">
        <v>1110</v>
      </c>
      <c r="K18" s="21" t="s">
        <v>1105</v>
      </c>
      <c r="L18" s="3"/>
      <c r="M18" s="3"/>
      <c r="N18" s="3"/>
      <c r="O18" s="3"/>
      <c r="P18" s="3"/>
      <c r="Q18" s="3"/>
      <c r="R18" s="3"/>
      <c r="S18" s="3"/>
      <c r="T18" s="3"/>
      <c r="U18" s="3"/>
      <c r="V18" s="3"/>
      <c r="W18" s="3"/>
      <c r="X18" s="3"/>
      <c r="Y18" s="3"/>
      <c r="Z18" s="3"/>
      <c r="AA18" s="3"/>
      <c r="AB18" s="3"/>
      <c r="AC18" s="3"/>
      <c r="AD18" s="3"/>
      <c r="AE18" s="3"/>
    </row>
    <row r="19" spans="4:34" ht="21" x14ac:dyDescent="0.5">
      <c r="D19" s="3"/>
      <c r="E19" s="3"/>
      <c r="F19" s="3"/>
      <c r="G19" s="3"/>
      <c r="H19" s="3"/>
      <c r="I19" s="22" t="s">
        <v>1081</v>
      </c>
      <c r="J19" s="23">
        <v>6.4285714285714288</v>
      </c>
      <c r="K19" s="24">
        <v>65</v>
      </c>
      <c r="L19" s="3"/>
      <c r="M19" s="3"/>
      <c r="N19" s="3"/>
      <c r="O19" s="3"/>
      <c r="P19" s="3"/>
      <c r="Q19" s="3"/>
      <c r="R19" s="3"/>
      <c r="S19" s="3"/>
      <c r="T19" s="3"/>
      <c r="U19" s="3"/>
      <c r="V19" s="3"/>
      <c r="W19" s="3"/>
      <c r="X19" s="3"/>
      <c r="Y19" s="3"/>
      <c r="Z19" s="3"/>
      <c r="AA19" s="3"/>
      <c r="AB19" s="3"/>
      <c r="AC19" s="3"/>
      <c r="AD19" s="3"/>
      <c r="AE19" s="3"/>
    </row>
    <row r="20" spans="4:34" ht="21" x14ac:dyDescent="0.5">
      <c r="D20" s="3"/>
      <c r="E20" s="3"/>
      <c r="F20" s="3"/>
      <c r="G20" s="3"/>
      <c r="H20" s="3"/>
      <c r="I20" s="22" t="s">
        <v>1082</v>
      </c>
      <c r="J20" s="23">
        <v>4.7</v>
      </c>
      <c r="K20" s="24">
        <v>45</v>
      </c>
      <c r="L20" s="3"/>
      <c r="M20" s="3"/>
      <c r="N20" s="3"/>
      <c r="O20" s="3"/>
      <c r="P20" s="3"/>
      <c r="Q20" s="3"/>
      <c r="R20" s="3"/>
      <c r="S20" s="3"/>
      <c r="T20" s="3"/>
      <c r="U20" s="3"/>
      <c r="V20" s="3"/>
      <c r="W20" s="3"/>
      <c r="X20" s="3"/>
      <c r="Y20" s="3"/>
      <c r="Z20" s="3"/>
      <c r="AA20" s="3"/>
      <c r="AB20" s="3"/>
      <c r="AC20" s="3"/>
      <c r="AD20" s="3"/>
      <c r="AE20" s="3"/>
    </row>
    <row r="21" spans="4:34" ht="21" x14ac:dyDescent="0.5">
      <c r="D21" s="3"/>
      <c r="E21" s="3"/>
      <c r="F21" s="3"/>
      <c r="G21" s="3"/>
      <c r="I21" s="16" t="s">
        <v>1083</v>
      </c>
      <c r="J21" s="17">
        <v>4.7058823529411766</v>
      </c>
      <c r="K21" s="18">
        <v>59</v>
      </c>
      <c r="L21" s="3"/>
      <c r="M21" s="3"/>
      <c r="N21" s="3"/>
      <c r="O21" s="3"/>
      <c r="P21" s="3"/>
      <c r="Q21" s="3"/>
      <c r="R21" s="3"/>
      <c r="S21" s="3"/>
      <c r="T21" s="3"/>
      <c r="U21" s="3"/>
      <c r="V21" s="3"/>
      <c r="W21" s="3"/>
      <c r="X21" s="3"/>
      <c r="Y21" s="3"/>
      <c r="Z21" s="3"/>
      <c r="AA21" s="3"/>
      <c r="AB21" s="3"/>
      <c r="AC21" s="3"/>
      <c r="AD21" s="3"/>
      <c r="AE21" s="3"/>
    </row>
    <row r="22" spans="4:34" ht="21" x14ac:dyDescent="0.5">
      <c r="D22" s="3"/>
      <c r="E22" s="3"/>
      <c r="F22" s="3"/>
      <c r="G22" s="3"/>
      <c r="I22" s="16" t="s">
        <v>1084</v>
      </c>
      <c r="J22" s="17">
        <v>5.8125</v>
      </c>
      <c r="K22" s="18">
        <v>44</v>
      </c>
      <c r="L22" s="3"/>
      <c r="M22" s="3"/>
      <c r="N22" s="3"/>
      <c r="O22" s="3"/>
      <c r="P22" s="3"/>
      <c r="Q22" s="3"/>
      <c r="R22" s="3"/>
      <c r="S22" s="3"/>
      <c r="T22" s="3"/>
      <c r="U22" s="3"/>
      <c r="V22" s="3"/>
      <c r="W22" s="3"/>
      <c r="X22" s="3"/>
      <c r="Y22" s="3"/>
      <c r="Z22" s="3"/>
      <c r="AA22" s="3"/>
      <c r="AB22" s="3"/>
      <c r="AC22" s="3"/>
      <c r="AD22" s="3"/>
      <c r="AE22" s="3"/>
    </row>
    <row r="23" spans="4:34" ht="21" x14ac:dyDescent="0.5">
      <c r="D23" s="3"/>
      <c r="E23" s="3"/>
      <c r="F23" s="3"/>
      <c r="G23" s="3"/>
      <c r="I23" s="16" t="s">
        <v>1085</v>
      </c>
      <c r="J23" s="17">
        <v>5</v>
      </c>
      <c r="K23" s="18">
        <v>51</v>
      </c>
      <c r="L23" s="3"/>
      <c r="M23" s="3"/>
      <c r="N23" s="3"/>
      <c r="O23" s="3"/>
      <c r="P23" s="3"/>
      <c r="Q23" s="3"/>
      <c r="R23" s="3"/>
      <c r="S23" s="3"/>
      <c r="T23" s="3"/>
      <c r="U23" s="3"/>
      <c r="V23" s="3"/>
      <c r="W23" s="3"/>
      <c r="X23" s="3"/>
      <c r="Y23" s="3"/>
      <c r="Z23" s="3"/>
      <c r="AA23" s="3"/>
      <c r="AB23" s="3"/>
      <c r="AC23" s="3"/>
      <c r="AD23" s="3"/>
      <c r="AE23" s="3"/>
    </row>
    <row r="24" spans="4:34" ht="21" x14ac:dyDescent="0.5">
      <c r="D24" s="3"/>
      <c r="E24" s="3"/>
      <c r="F24" s="3"/>
      <c r="G24" s="3"/>
      <c r="I24" s="16" t="s">
        <v>1086</v>
      </c>
      <c r="J24" s="17">
        <v>4.0625</v>
      </c>
      <c r="K24" s="18">
        <v>53</v>
      </c>
      <c r="L24" s="3"/>
      <c r="M24" s="3"/>
      <c r="N24" s="3"/>
      <c r="O24" s="3"/>
      <c r="P24" s="3"/>
      <c r="Q24" s="3"/>
      <c r="R24" s="3"/>
      <c r="S24" s="3"/>
      <c r="T24" s="3"/>
      <c r="U24" s="3"/>
      <c r="V24" s="3"/>
      <c r="W24" s="3"/>
      <c r="X24" s="3"/>
      <c r="Y24" s="3"/>
      <c r="Z24" s="3"/>
      <c r="AA24" s="3"/>
      <c r="AB24" s="3"/>
      <c r="AC24" s="3"/>
      <c r="AD24" s="3"/>
      <c r="AE24" s="3"/>
    </row>
    <row r="25" spans="4:34" ht="21" x14ac:dyDescent="0.5">
      <c r="D25" s="3"/>
      <c r="E25" s="3"/>
      <c r="F25" s="3"/>
      <c r="G25" s="3"/>
      <c r="I25" s="16" t="s">
        <v>1087</v>
      </c>
      <c r="J25" s="17">
        <v>4.5625</v>
      </c>
      <c r="K25" s="18">
        <v>60</v>
      </c>
      <c r="L25" s="3"/>
      <c r="M25" s="3"/>
      <c r="N25" s="3"/>
      <c r="O25" s="3"/>
      <c r="P25" s="3"/>
      <c r="Q25" s="3"/>
      <c r="R25" s="3"/>
      <c r="S25" s="3"/>
      <c r="T25" s="3"/>
      <c r="U25" s="3"/>
      <c r="V25" s="3"/>
      <c r="W25" s="3"/>
      <c r="X25" s="3"/>
      <c r="Y25" s="3"/>
      <c r="Z25" s="3"/>
      <c r="AA25" s="3"/>
      <c r="AB25" s="3"/>
      <c r="AC25" s="3"/>
      <c r="AD25" s="3"/>
      <c r="AE25" s="3"/>
    </row>
    <row r="26" spans="4:34" ht="21" x14ac:dyDescent="0.5">
      <c r="D26" s="3"/>
      <c r="E26" s="3"/>
      <c r="F26" s="3"/>
      <c r="G26" s="3"/>
      <c r="I26" s="16" t="s">
        <v>1088</v>
      </c>
      <c r="J26" s="17">
        <v>5.8947368421052628</v>
      </c>
      <c r="K26" s="18">
        <v>53</v>
      </c>
      <c r="L26" s="3"/>
      <c r="M26" s="3"/>
      <c r="N26" s="3"/>
      <c r="O26" s="3"/>
      <c r="P26" s="3"/>
      <c r="Q26" s="3"/>
      <c r="R26" s="3"/>
      <c r="S26" s="3"/>
      <c r="T26" s="3"/>
      <c r="U26" s="3"/>
      <c r="V26" s="3"/>
      <c r="W26" s="3"/>
      <c r="X26" s="3"/>
      <c r="Y26" s="3"/>
      <c r="Z26" s="3"/>
      <c r="AA26" s="3"/>
      <c r="AB26" s="3"/>
      <c r="AC26" s="3"/>
      <c r="AD26" s="3"/>
      <c r="AE26" s="3"/>
    </row>
    <row r="27" spans="4:34" ht="21" x14ac:dyDescent="0.5">
      <c r="D27" s="3"/>
      <c r="E27" s="3"/>
      <c r="F27" s="3"/>
      <c r="G27" s="3"/>
      <c r="I27" s="16" t="s">
        <v>1089</v>
      </c>
      <c r="J27" s="17">
        <v>4.2857142857142856</v>
      </c>
      <c r="K27" s="18">
        <v>47</v>
      </c>
      <c r="L27" s="3"/>
      <c r="M27" s="3"/>
      <c r="N27" s="3"/>
      <c r="O27" s="3"/>
      <c r="P27" s="3"/>
      <c r="Q27" s="3"/>
      <c r="R27" s="3"/>
      <c r="S27" s="3"/>
      <c r="T27" s="3"/>
      <c r="U27" s="3"/>
      <c r="V27" s="3"/>
      <c r="W27" s="3"/>
      <c r="X27" s="3"/>
      <c r="Y27" s="3"/>
      <c r="Z27" s="3"/>
      <c r="AA27" s="3"/>
      <c r="AB27" s="3"/>
      <c r="AC27" s="3"/>
      <c r="AD27" s="3"/>
      <c r="AE27" s="3"/>
    </row>
    <row r="28" spans="4:34" ht="21" x14ac:dyDescent="0.5">
      <c r="D28" s="3"/>
      <c r="E28" s="3"/>
      <c r="F28" s="3"/>
      <c r="G28" s="3"/>
      <c r="I28" s="16" t="s">
        <v>1090</v>
      </c>
      <c r="J28" s="17">
        <v>5.5294117647058822</v>
      </c>
      <c r="K28" s="18">
        <v>54</v>
      </c>
      <c r="L28" s="3"/>
      <c r="M28" s="3"/>
      <c r="N28" s="3"/>
      <c r="O28" s="3"/>
      <c r="P28" s="3"/>
      <c r="Q28" s="3"/>
      <c r="R28" s="3"/>
      <c r="S28" s="3"/>
      <c r="T28" s="3"/>
      <c r="U28" s="3"/>
      <c r="V28" s="3"/>
      <c r="W28" s="3"/>
      <c r="X28" s="3"/>
      <c r="Y28" s="3"/>
      <c r="Z28" s="3"/>
      <c r="AA28" s="3"/>
      <c r="AB28" s="3"/>
      <c r="AC28" s="3"/>
      <c r="AD28" s="3"/>
      <c r="AE28" s="3"/>
      <c r="AH28" t="s">
        <v>1111</v>
      </c>
    </row>
    <row r="29" spans="4:34" x14ac:dyDescent="0.35">
      <c r="D29" s="3"/>
      <c r="E29" s="3"/>
      <c r="F29" s="3"/>
      <c r="G29" s="3"/>
      <c r="I29" s="8" t="s">
        <v>1095</v>
      </c>
      <c r="J29" s="14">
        <v>5.1241830065359473</v>
      </c>
      <c r="K29" s="15">
        <v>531</v>
      </c>
      <c r="L29" s="3"/>
      <c r="M29" s="3"/>
      <c r="N29" s="3"/>
      <c r="O29" s="3"/>
      <c r="P29" s="3"/>
      <c r="Q29" s="3"/>
      <c r="R29" s="3"/>
      <c r="S29" s="3"/>
      <c r="T29" s="3"/>
      <c r="U29" s="3"/>
      <c r="V29" s="3"/>
      <c r="W29" s="3"/>
      <c r="X29" s="3"/>
      <c r="Y29" s="3"/>
      <c r="Z29" s="3"/>
      <c r="AA29" s="3"/>
      <c r="AB29" s="3"/>
      <c r="AC29" s="3"/>
      <c r="AD29" s="3"/>
      <c r="AE29" s="3"/>
    </row>
    <row r="30" spans="4:34" x14ac:dyDescent="0.35">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row>
    <row r="31" spans="4:34" x14ac:dyDescent="0.35">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row>
    <row r="32" spans="4:34" x14ac:dyDescent="0.35">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row>
    <row r="33" spans="4:52" x14ac:dyDescent="0.35">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spans="4:52" x14ac:dyDescent="0.35">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spans="4:52" x14ac:dyDescent="0.35">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spans="4:52" x14ac:dyDescent="0.35">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spans="4:52" x14ac:dyDescent="0.35">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spans="4:52" x14ac:dyDescent="0.35">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spans="4:52" x14ac:dyDescent="0.35">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spans="4:52" x14ac:dyDescent="0.35">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spans="4:52" x14ac:dyDescent="0.35">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spans="4:52" x14ac:dyDescent="0.35">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Z42" s="3"/>
    </row>
    <row r="43" spans="4:52" x14ac:dyDescent="0.35">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spans="4:52" x14ac:dyDescent="0.35">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spans="4:52" x14ac:dyDescent="0.35">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spans="4:52" x14ac:dyDescent="0.35">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spans="4:52" x14ac:dyDescent="0.35">
      <c r="D47" s="3"/>
      <c r="E47" s="3"/>
      <c r="F47" s="3"/>
      <c r="G47" s="3"/>
      <c r="H47" s="3"/>
      <c r="I47" s="3"/>
      <c r="J47" s="3"/>
      <c r="K47" s="3"/>
      <c r="L47" s="3"/>
      <c r="M47" s="3"/>
      <c r="N47" s="3"/>
      <c r="O47" s="3"/>
      <c r="P47" s="3"/>
      <c r="Q47" s="3"/>
      <c r="R47" s="3"/>
      <c r="S47" s="3"/>
      <c r="T47" s="3"/>
      <c r="U47" s="3"/>
      <c r="V47" s="3"/>
      <c r="W47" s="3"/>
      <c r="X47" s="3" t="s">
        <v>1112</v>
      </c>
      <c r="Y47" s="3"/>
      <c r="Z47" s="3"/>
      <c r="AA47" s="3"/>
      <c r="AB47" s="3"/>
      <c r="AC47" s="3"/>
      <c r="AD47" s="3"/>
      <c r="AE47" s="3"/>
      <c r="AF47" s="3"/>
    </row>
    <row r="48" spans="4:52" x14ac:dyDescent="0.35">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spans="4:32" x14ac:dyDescent="0.35">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spans="4:32" x14ac:dyDescent="0.35">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spans="4:32" x14ac:dyDescent="0.35">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spans="4:32" x14ac:dyDescent="0.35">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spans="4:32" x14ac:dyDescent="0.35">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spans="4:32" x14ac:dyDescent="0.35">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sheetData>
  <mergeCells count="9">
    <mergeCell ref="I14:K16"/>
    <mergeCell ref="E2:P7"/>
    <mergeCell ref="E8:P12"/>
    <mergeCell ref="R3:T4"/>
    <mergeCell ref="V3:X4"/>
    <mergeCell ref="Z3:AB4"/>
    <mergeCell ref="R6:T11"/>
    <mergeCell ref="V6:X11"/>
    <mergeCell ref="Z6:AB11"/>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61840-BD3E-4179-B475-40E5ADC27BEB}">
  <dimension ref="C2:E6"/>
  <sheetViews>
    <sheetView zoomScale="90" zoomScaleNormal="90" workbookViewId="0">
      <selection activeCell="C5" sqref="C5:C6"/>
      <pivotSelection pane="bottomRight" showHeader="1" extendable="1" max="3" activeRow="4" activeCol="2" click="1" r:id="rId1">
        <pivotArea dataOnly="0" outline="0" fieldPosition="0">
          <references count="1">
            <reference field="4294967294" count="1">
              <x v="0"/>
            </reference>
          </references>
        </pivotArea>
      </pivotSelection>
    </sheetView>
  </sheetViews>
  <sheetFormatPr defaultRowHeight="14.5" x14ac:dyDescent="0.35"/>
  <cols>
    <col min="3" max="3" width="17" bestFit="1" customWidth="1"/>
    <col min="4" max="4" width="25" bestFit="1" customWidth="1"/>
    <col min="5" max="5" width="24.36328125" bestFit="1" customWidth="1"/>
  </cols>
  <sheetData>
    <row r="2" spans="3:5" x14ac:dyDescent="0.35">
      <c r="C2" s="7" t="s">
        <v>1078</v>
      </c>
      <c r="D2" t="s">
        <v>1108</v>
      </c>
    </row>
    <row r="3" spans="3:5" x14ac:dyDescent="0.35">
      <c r="C3" s="7" t="s">
        <v>1079</v>
      </c>
      <c r="D3" t="s">
        <v>1108</v>
      </c>
    </row>
    <row r="5" spans="3:5" x14ac:dyDescent="0.35">
      <c r="C5" t="s">
        <v>1091</v>
      </c>
      <c r="D5" t="s">
        <v>1092</v>
      </c>
      <c r="E5" t="s">
        <v>1093</v>
      </c>
    </row>
    <row r="6" spans="3:5" x14ac:dyDescent="0.35">
      <c r="C6" s="4">
        <v>531</v>
      </c>
      <c r="D6" s="5">
        <v>5.1241830065359473</v>
      </c>
      <c r="E6" s="6">
        <v>35.83050847457627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2E6AE-1935-4F9F-A92A-7DBF2302FBF6}">
  <dimension ref="C5:E16"/>
  <sheetViews>
    <sheetView workbookViewId="0">
      <selection activeCell="H6" sqref="H6"/>
    </sheetView>
  </sheetViews>
  <sheetFormatPr defaultRowHeight="14.5" x14ac:dyDescent="0.35"/>
  <cols>
    <col min="3" max="3" width="12.453125" bestFit="1" customWidth="1"/>
    <col min="4" max="4" width="24.7265625" bestFit="1" customWidth="1"/>
    <col min="5" max="5" width="16.81640625" bestFit="1" customWidth="1"/>
  </cols>
  <sheetData>
    <row r="5" spans="3:5" x14ac:dyDescent="0.35">
      <c r="C5" s="7" t="s">
        <v>1094</v>
      </c>
      <c r="D5" s="5" t="s">
        <v>1092</v>
      </c>
      <c r="E5" t="s">
        <v>1091</v>
      </c>
    </row>
    <row r="6" spans="3:5" x14ac:dyDescent="0.35">
      <c r="C6" s="8" t="s">
        <v>1081</v>
      </c>
      <c r="D6" s="5">
        <v>6.4285714285714288</v>
      </c>
      <c r="E6" s="4">
        <v>65</v>
      </c>
    </row>
    <row r="7" spans="3:5" x14ac:dyDescent="0.35">
      <c r="C7" s="8" t="s">
        <v>1082</v>
      </c>
      <c r="D7" s="5">
        <v>4.7</v>
      </c>
      <c r="E7" s="4">
        <v>45</v>
      </c>
    </row>
    <row r="8" spans="3:5" x14ac:dyDescent="0.35">
      <c r="C8" s="8" t="s">
        <v>1083</v>
      </c>
      <c r="D8" s="5">
        <v>4.7058823529411766</v>
      </c>
      <c r="E8" s="4">
        <v>59</v>
      </c>
    </row>
    <row r="9" spans="3:5" x14ac:dyDescent="0.35">
      <c r="C9" s="8" t="s">
        <v>1084</v>
      </c>
      <c r="D9" s="5">
        <v>5.8125</v>
      </c>
      <c r="E9" s="4">
        <v>44</v>
      </c>
    </row>
    <row r="10" spans="3:5" x14ac:dyDescent="0.35">
      <c r="C10" s="8" t="s">
        <v>1085</v>
      </c>
      <c r="D10" s="5">
        <v>5</v>
      </c>
      <c r="E10" s="4">
        <v>51</v>
      </c>
    </row>
    <row r="11" spans="3:5" x14ac:dyDescent="0.35">
      <c r="C11" s="8" t="s">
        <v>1086</v>
      </c>
      <c r="D11" s="5">
        <v>4.0625</v>
      </c>
      <c r="E11" s="4">
        <v>53</v>
      </c>
    </row>
    <row r="12" spans="3:5" x14ac:dyDescent="0.35">
      <c r="C12" s="8" t="s">
        <v>1087</v>
      </c>
      <c r="D12" s="5">
        <v>4.5625</v>
      </c>
      <c r="E12" s="4">
        <v>60</v>
      </c>
    </row>
    <row r="13" spans="3:5" x14ac:dyDescent="0.35">
      <c r="C13" s="8" t="s">
        <v>1088</v>
      </c>
      <c r="D13" s="5">
        <v>5.8947368421052628</v>
      </c>
      <c r="E13" s="4">
        <v>53</v>
      </c>
    </row>
    <row r="14" spans="3:5" x14ac:dyDescent="0.35">
      <c r="C14" s="8" t="s">
        <v>1089</v>
      </c>
      <c r="D14" s="5">
        <v>4.2857142857142856</v>
      </c>
      <c r="E14" s="4">
        <v>47</v>
      </c>
    </row>
    <row r="15" spans="3:5" x14ac:dyDescent="0.35">
      <c r="C15" s="8" t="s">
        <v>1090</v>
      </c>
      <c r="D15" s="5">
        <v>5.5294117647058822</v>
      </c>
      <c r="E15" s="4">
        <v>54</v>
      </c>
    </row>
    <row r="16" spans="3:5" x14ac:dyDescent="0.35">
      <c r="C16" s="8" t="s">
        <v>1095</v>
      </c>
      <c r="D16" s="5">
        <v>5.1241830065359473</v>
      </c>
      <c r="E16" s="4">
        <v>531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C513D-239D-4306-90CC-CAE33EA11A5D}">
  <dimension ref="C5:D14"/>
  <sheetViews>
    <sheetView workbookViewId="0">
      <selection activeCell="J23" sqref="J23"/>
    </sheetView>
  </sheetViews>
  <sheetFormatPr defaultRowHeight="14.5" x14ac:dyDescent="0.35"/>
  <cols>
    <col min="3" max="3" width="12.453125" bestFit="1" customWidth="1"/>
    <col min="4" max="4" width="16.81640625" bestFit="1" customWidth="1"/>
  </cols>
  <sheetData>
    <row r="5" spans="3:4" x14ac:dyDescent="0.35">
      <c r="C5" s="7" t="s">
        <v>1094</v>
      </c>
      <c r="D5" t="s">
        <v>1091</v>
      </c>
    </row>
    <row r="6" spans="3:4" x14ac:dyDescent="0.35">
      <c r="C6" s="8" t="s">
        <v>1096</v>
      </c>
      <c r="D6" s="4">
        <v>73</v>
      </c>
    </row>
    <row r="7" spans="3:4" x14ac:dyDescent="0.35">
      <c r="C7" s="8" t="s">
        <v>1097</v>
      </c>
      <c r="D7" s="4">
        <v>62</v>
      </c>
    </row>
    <row r="8" spans="3:4" x14ac:dyDescent="0.35">
      <c r="C8" s="8" t="s">
        <v>1098</v>
      </c>
      <c r="D8" s="4">
        <v>70</v>
      </c>
    </row>
    <row r="9" spans="3:4" x14ac:dyDescent="0.35">
      <c r="C9" s="8" t="s">
        <v>1099</v>
      </c>
      <c r="D9" s="4">
        <v>70</v>
      </c>
    </row>
    <row r="10" spans="3:4" x14ac:dyDescent="0.35">
      <c r="C10" s="8" t="s">
        <v>1100</v>
      </c>
      <c r="D10" s="4">
        <v>62</v>
      </c>
    </row>
    <row r="11" spans="3:4" x14ac:dyDescent="0.35">
      <c r="C11" s="8" t="s">
        <v>1101</v>
      </c>
      <c r="D11" s="4">
        <v>70</v>
      </c>
    </row>
    <row r="12" spans="3:4" x14ac:dyDescent="0.35">
      <c r="C12" s="8" t="s">
        <v>1102</v>
      </c>
      <c r="D12" s="4">
        <v>67</v>
      </c>
    </row>
    <row r="13" spans="3:4" x14ac:dyDescent="0.35">
      <c r="C13" s="8" t="s">
        <v>1103</v>
      </c>
      <c r="D13" s="4">
        <v>57</v>
      </c>
    </row>
    <row r="14" spans="3:4" x14ac:dyDescent="0.35">
      <c r="C14" s="8" t="s">
        <v>1095</v>
      </c>
      <c r="D14" s="4">
        <v>531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D7788-11CD-4482-8288-D534313F4A94}">
  <dimension ref="C5:E30"/>
  <sheetViews>
    <sheetView topLeftCell="B1" workbookViewId="0">
      <selection activeCell="E5" sqref="E5"/>
    </sheetView>
  </sheetViews>
  <sheetFormatPr defaultRowHeight="14.5" x14ac:dyDescent="0.35"/>
  <cols>
    <col min="3" max="3" width="12.453125" bestFit="1" customWidth="1"/>
    <col min="4" max="4" width="9.08984375" bestFit="1" customWidth="1"/>
    <col min="5" max="5" width="7.7265625" bestFit="1" customWidth="1"/>
  </cols>
  <sheetData>
    <row r="5" spans="3:5" x14ac:dyDescent="0.35">
      <c r="C5" s="7" t="s">
        <v>1094</v>
      </c>
      <c r="D5" t="s">
        <v>1113</v>
      </c>
      <c r="E5" t="s">
        <v>1114</v>
      </c>
    </row>
    <row r="6" spans="3:5" x14ac:dyDescent="0.35">
      <c r="C6" s="10">
        <v>0</v>
      </c>
      <c r="D6" s="6">
        <v>30.708333333333332</v>
      </c>
      <c r="E6" s="4">
        <v>24</v>
      </c>
    </row>
    <row r="7" spans="3:5" x14ac:dyDescent="0.35">
      <c r="C7" s="10">
        <v>4.1666666666666664E-2</v>
      </c>
      <c r="D7" s="6">
        <v>32.869565217391305</v>
      </c>
      <c r="E7" s="4">
        <v>23</v>
      </c>
    </row>
    <row r="8" spans="3:5" x14ac:dyDescent="0.35">
      <c r="C8" s="10">
        <v>8.3333333333333329E-2</v>
      </c>
      <c r="D8" s="6">
        <v>37.5</v>
      </c>
      <c r="E8" s="4">
        <v>28</v>
      </c>
    </row>
    <row r="9" spans="3:5" x14ac:dyDescent="0.35">
      <c r="C9" s="10">
        <v>0.125</v>
      </c>
      <c r="D9" s="6">
        <v>37.6</v>
      </c>
      <c r="E9" s="4">
        <v>25</v>
      </c>
    </row>
    <row r="10" spans="3:5" x14ac:dyDescent="0.35">
      <c r="C10" s="10">
        <v>0.16666666666666666</v>
      </c>
      <c r="D10" s="6">
        <v>38.875</v>
      </c>
      <c r="E10" s="4">
        <v>16</v>
      </c>
    </row>
    <row r="11" spans="3:5" x14ac:dyDescent="0.35">
      <c r="C11" s="10">
        <v>0.20833333333333334</v>
      </c>
      <c r="D11" s="6">
        <v>40.421052631578945</v>
      </c>
      <c r="E11" s="4">
        <v>19</v>
      </c>
    </row>
    <row r="12" spans="3:5" x14ac:dyDescent="0.35">
      <c r="C12" s="10">
        <v>0.25</v>
      </c>
      <c r="D12" s="6">
        <v>36.055555555555557</v>
      </c>
      <c r="E12" s="4">
        <v>18</v>
      </c>
    </row>
    <row r="13" spans="3:5" x14ac:dyDescent="0.35">
      <c r="C13" s="10">
        <v>0.29166666666666669</v>
      </c>
      <c r="D13" s="6">
        <v>37.523809523809526</v>
      </c>
      <c r="E13" s="4">
        <v>21</v>
      </c>
    </row>
    <row r="14" spans="3:5" x14ac:dyDescent="0.35">
      <c r="C14" s="10">
        <v>0.33333333333333331</v>
      </c>
      <c r="D14" s="6">
        <v>36.857142857142854</v>
      </c>
      <c r="E14" s="4">
        <v>21</v>
      </c>
    </row>
    <row r="15" spans="3:5" x14ac:dyDescent="0.35">
      <c r="C15" s="10">
        <v>0.375</v>
      </c>
      <c r="D15" s="6">
        <v>37.787878787878789</v>
      </c>
      <c r="E15" s="4">
        <v>33</v>
      </c>
    </row>
    <row r="16" spans="3:5" x14ac:dyDescent="0.35">
      <c r="C16" s="10">
        <v>0.41666666666666669</v>
      </c>
      <c r="D16" s="6">
        <v>31.05263157894737</v>
      </c>
      <c r="E16" s="4">
        <v>19</v>
      </c>
    </row>
    <row r="17" spans="3:5" x14ac:dyDescent="0.35">
      <c r="C17" s="10">
        <v>0.45833333333333331</v>
      </c>
      <c r="D17" s="6">
        <v>34.071428571428569</v>
      </c>
      <c r="E17" s="4">
        <v>14</v>
      </c>
    </row>
    <row r="18" spans="3:5" x14ac:dyDescent="0.35">
      <c r="C18" s="10">
        <v>0.5</v>
      </c>
      <c r="D18" s="6">
        <v>34.789473684210527</v>
      </c>
      <c r="E18" s="4">
        <v>19</v>
      </c>
    </row>
    <row r="19" spans="3:5" x14ac:dyDescent="0.35">
      <c r="C19" s="10">
        <v>0.54166666666666663</v>
      </c>
      <c r="D19" s="6">
        <v>39.666666666666664</v>
      </c>
      <c r="E19" s="4">
        <v>21</v>
      </c>
    </row>
    <row r="20" spans="3:5" x14ac:dyDescent="0.35">
      <c r="C20" s="10">
        <v>0.58333333333333337</v>
      </c>
      <c r="D20" s="6">
        <v>38.1</v>
      </c>
      <c r="E20" s="4">
        <v>20</v>
      </c>
    </row>
    <row r="21" spans="3:5" x14ac:dyDescent="0.35">
      <c r="C21" s="10">
        <v>0.625</v>
      </c>
      <c r="D21" s="6">
        <v>36.80952380952381</v>
      </c>
      <c r="E21" s="4">
        <v>21</v>
      </c>
    </row>
    <row r="22" spans="3:5" x14ac:dyDescent="0.35">
      <c r="C22" s="10">
        <v>0.66666666666666663</v>
      </c>
      <c r="D22" s="6">
        <v>32.56666666666667</v>
      </c>
      <c r="E22" s="4">
        <v>30</v>
      </c>
    </row>
    <row r="23" spans="3:5" x14ac:dyDescent="0.35">
      <c r="C23" s="10">
        <v>0.70833333333333337</v>
      </c>
      <c r="D23" s="6">
        <v>37.24</v>
      </c>
      <c r="E23" s="4">
        <v>25</v>
      </c>
    </row>
    <row r="24" spans="3:5" x14ac:dyDescent="0.35">
      <c r="C24" s="10">
        <v>0.75</v>
      </c>
      <c r="D24" s="6">
        <v>31.925925925925927</v>
      </c>
      <c r="E24" s="4">
        <v>27</v>
      </c>
    </row>
    <row r="25" spans="3:5" x14ac:dyDescent="0.35">
      <c r="C25" s="10">
        <v>0.79166666666666663</v>
      </c>
      <c r="D25" s="6">
        <v>30.772727272727273</v>
      </c>
      <c r="E25" s="4">
        <v>22</v>
      </c>
    </row>
    <row r="26" spans="3:5" x14ac:dyDescent="0.35">
      <c r="C26" s="10">
        <v>0.83333333333333337</v>
      </c>
      <c r="D26" s="6">
        <v>33.571428571428569</v>
      </c>
      <c r="E26" s="4">
        <v>14</v>
      </c>
    </row>
    <row r="27" spans="3:5" x14ac:dyDescent="0.35">
      <c r="C27" s="10">
        <v>0.875</v>
      </c>
      <c r="D27" s="6">
        <v>34</v>
      </c>
      <c r="E27" s="4">
        <v>20</v>
      </c>
    </row>
    <row r="28" spans="3:5" x14ac:dyDescent="0.35">
      <c r="C28" s="10">
        <v>0.91666666666666663</v>
      </c>
      <c r="D28" s="6">
        <v>37.090909090909093</v>
      </c>
      <c r="E28" s="4">
        <v>22</v>
      </c>
    </row>
    <row r="29" spans="3:5" x14ac:dyDescent="0.35">
      <c r="C29" s="10">
        <v>0.95833333333333337</v>
      </c>
      <c r="D29" s="6">
        <v>40.896551724137929</v>
      </c>
      <c r="E29" s="4">
        <v>29</v>
      </c>
    </row>
    <row r="30" spans="3:5" x14ac:dyDescent="0.35">
      <c r="C30" s="9" t="s">
        <v>1095</v>
      </c>
      <c r="D30" s="6">
        <v>35.83050847457627</v>
      </c>
      <c r="E30" s="4">
        <v>531</v>
      </c>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Orthopedics</vt:lpstr>
      <vt:lpstr>Dashboard</vt:lpstr>
      <vt:lpstr>KPIs</vt:lpstr>
      <vt:lpstr>CSAT Score by Month</vt:lpstr>
      <vt:lpstr>Age Bracket</vt:lpstr>
      <vt:lpstr>Patients &amp; Wait Time by 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Godwin Sikale</dc:creator>
  <cp:lastModifiedBy>Godwin Sikale</cp:lastModifiedBy>
  <dcterms:created xsi:type="dcterms:W3CDTF">2026-02-11T16:14:12Z</dcterms:created>
  <dcterms:modified xsi:type="dcterms:W3CDTF">2026-02-12T22:14:21Z</dcterms:modified>
</cp:coreProperties>
</file>